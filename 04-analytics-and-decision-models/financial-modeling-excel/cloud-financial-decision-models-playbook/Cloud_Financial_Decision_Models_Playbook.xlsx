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My Templates\04-analytics-and-decision-models\cloud-and-enterprise-decision-models\01-cloud-migration-npv-case\"/>
    </mc:Choice>
  </mc:AlternateContent>
  <xr:revisionPtr revIDLastSave="0" documentId="13_ncr:1_{BC5DD10D-C97C-4121-980F-E48644F14100}" xr6:coauthVersionLast="47" xr6:coauthVersionMax="47" xr10:uidLastSave="{00000000-0000-0000-0000-000000000000}"/>
  <bookViews>
    <workbookView xWindow="-108" yWindow="-108" windowWidth="23256" windowHeight="12456" firstSheet="3" activeTab="5" xr2:uid="{EC71A4EB-F2F7-453C-912C-5A63B76C7F6E}"/>
  </bookViews>
  <sheets>
    <sheet name="NPV Analysis" sheetId="6" r:id="rId1"/>
    <sheet name="RI vs PAYG" sheetId="7" r:id="rId2"/>
    <sheet name="RI Utilization Sensitivit" sheetId="9" r:id="rId3"/>
    <sheet name="Right-Sizing &amp; Auto-Scaling" sheetId="11" r:id="rId4"/>
    <sheet name="DR Strategy Cost–Risk Optimizat" sheetId="12" r:id="rId5"/>
    <sheet name="RI vs Savings Plans vs PAYG" sheetId="14" r:id="rId6"/>
  </sheets>
  <definedNames>
    <definedName name="_xlchart.v1.0" hidden="1">'RI vs Savings Plans vs PAYG'!$C$92:$C$1091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8" i="14" l="1"/>
  <c r="B91" i="14"/>
  <c r="B92" i="14"/>
  <c r="B93" i="14"/>
  <c r="B94" i="14"/>
  <c r="B95" i="14"/>
  <c r="B96" i="14"/>
  <c r="B97" i="14"/>
  <c r="B98" i="14"/>
  <c r="B99" i="14"/>
  <c r="B100" i="14"/>
  <c r="B101" i="14"/>
  <c r="B102" i="14"/>
  <c r="B103" i="14"/>
  <c r="B104" i="14"/>
  <c r="B105" i="14"/>
  <c r="B106" i="14"/>
  <c r="B107" i="14"/>
  <c r="B108" i="14"/>
  <c r="B109" i="14"/>
  <c r="B110" i="14"/>
  <c r="B111" i="14"/>
  <c r="B112" i="14"/>
  <c r="B113" i="14"/>
  <c r="B114" i="14"/>
  <c r="B115" i="14"/>
  <c r="B116" i="14"/>
  <c r="B117" i="14"/>
  <c r="B118" i="14"/>
  <c r="B119" i="14"/>
  <c r="B120" i="14"/>
  <c r="B121" i="14"/>
  <c r="B122" i="14"/>
  <c r="B123" i="14"/>
  <c r="B124" i="14"/>
  <c r="B125" i="14"/>
  <c r="B126" i="14"/>
  <c r="B127" i="14"/>
  <c r="B128" i="14"/>
  <c r="B129" i="14"/>
  <c r="B130" i="14"/>
  <c r="B131" i="14"/>
  <c r="B132" i="14"/>
  <c r="B133" i="14"/>
  <c r="B134" i="14"/>
  <c r="B135" i="14"/>
  <c r="B136" i="14"/>
  <c r="B137" i="14"/>
  <c r="B138" i="14"/>
  <c r="B139" i="14"/>
  <c r="B140" i="14"/>
  <c r="B141" i="14"/>
  <c r="B142" i="14"/>
  <c r="B143" i="14"/>
  <c r="B144" i="14"/>
  <c r="B145" i="14"/>
  <c r="B146" i="14"/>
  <c r="B147" i="14"/>
  <c r="B148" i="14"/>
  <c r="B149" i="14"/>
  <c r="B150" i="14"/>
  <c r="B151" i="14"/>
  <c r="B152" i="14"/>
  <c r="B153" i="14"/>
  <c r="B154" i="14"/>
  <c r="B155" i="14"/>
  <c r="B156" i="14"/>
  <c r="B157" i="14"/>
  <c r="B158" i="14"/>
  <c r="B159" i="14"/>
  <c r="B160" i="14"/>
  <c r="B161" i="14"/>
  <c r="B162" i="14"/>
  <c r="B163" i="14"/>
  <c r="B164" i="14"/>
  <c r="B165" i="14"/>
  <c r="B166" i="14"/>
  <c r="B167" i="14"/>
  <c r="B168" i="14"/>
  <c r="B169" i="14"/>
  <c r="B170" i="14"/>
  <c r="B171" i="14"/>
  <c r="B172" i="14"/>
  <c r="B173" i="14"/>
  <c r="B174" i="14"/>
  <c r="B175" i="14"/>
  <c r="B176" i="14"/>
  <c r="B177" i="14"/>
  <c r="B178" i="14"/>
  <c r="B179" i="14"/>
  <c r="B180" i="14"/>
  <c r="B181" i="14"/>
  <c r="B182" i="14"/>
  <c r="B183" i="14"/>
  <c r="B184" i="14"/>
  <c r="B185" i="14"/>
  <c r="B186" i="14"/>
  <c r="B187" i="14"/>
  <c r="B188" i="14"/>
  <c r="B189" i="14"/>
  <c r="B190" i="14"/>
  <c r="B191" i="14"/>
  <c r="B192" i="14"/>
  <c r="B193" i="14"/>
  <c r="B194" i="14"/>
  <c r="B195" i="14"/>
  <c r="B196" i="14"/>
  <c r="B197" i="14"/>
  <c r="B198" i="14"/>
  <c r="B199" i="14"/>
  <c r="B200" i="14"/>
  <c r="B201" i="14"/>
  <c r="B202" i="14"/>
  <c r="B203" i="14"/>
  <c r="B204" i="14"/>
  <c r="B205" i="14"/>
  <c r="B206" i="14"/>
  <c r="B207" i="14"/>
  <c r="B208" i="14"/>
  <c r="B209" i="14"/>
  <c r="B210" i="14"/>
  <c r="B211" i="14"/>
  <c r="B212" i="14"/>
  <c r="B213" i="14"/>
  <c r="B214" i="14"/>
  <c r="B215" i="14"/>
  <c r="B216" i="14"/>
  <c r="B217" i="14"/>
  <c r="B218" i="14"/>
  <c r="B219" i="14"/>
  <c r="B220" i="14"/>
  <c r="B221" i="14"/>
  <c r="B222" i="14"/>
  <c r="B223" i="14"/>
  <c r="B224" i="14"/>
  <c r="B225" i="14"/>
  <c r="B226" i="14"/>
  <c r="B227" i="14"/>
  <c r="B228" i="14"/>
  <c r="B229" i="14"/>
  <c r="B230" i="14"/>
  <c r="B231" i="14"/>
  <c r="B232" i="14"/>
  <c r="B233" i="14"/>
  <c r="B234" i="14"/>
  <c r="B235" i="14"/>
  <c r="B236" i="14"/>
  <c r="B237" i="14"/>
  <c r="B238" i="14"/>
  <c r="B239" i="14"/>
  <c r="B240" i="14"/>
  <c r="B241" i="14"/>
  <c r="B242" i="14"/>
  <c r="B243" i="14"/>
  <c r="B244" i="14"/>
  <c r="B245" i="14"/>
  <c r="B246" i="14"/>
  <c r="B247" i="14"/>
  <c r="B248" i="14"/>
  <c r="B249" i="14"/>
  <c r="B250" i="14"/>
  <c r="B251" i="14"/>
  <c r="B252" i="14"/>
  <c r="B253" i="14"/>
  <c r="B254" i="14"/>
  <c r="B255" i="14"/>
  <c r="B256" i="14"/>
  <c r="B257" i="14"/>
  <c r="B258" i="14"/>
  <c r="B259" i="14"/>
  <c r="B260" i="14"/>
  <c r="B261" i="14"/>
  <c r="B262" i="14"/>
  <c r="B263" i="14"/>
  <c r="B264" i="14"/>
  <c r="B265" i="14"/>
  <c r="B266" i="14"/>
  <c r="B267" i="14"/>
  <c r="B268" i="14"/>
  <c r="B269" i="14"/>
  <c r="B270" i="14"/>
  <c r="B271" i="14"/>
  <c r="B272" i="14"/>
  <c r="B273" i="14"/>
  <c r="B274" i="14"/>
  <c r="B275" i="14"/>
  <c r="B276" i="14"/>
  <c r="B277" i="14"/>
  <c r="B278" i="14"/>
  <c r="B279" i="14"/>
  <c r="B280" i="14"/>
  <c r="B281" i="14"/>
  <c r="B282" i="14"/>
  <c r="B283" i="14"/>
  <c r="B284" i="14"/>
  <c r="B285" i="14"/>
  <c r="B286" i="14"/>
  <c r="B287" i="14"/>
  <c r="B288" i="14"/>
  <c r="B289" i="14"/>
  <c r="B290" i="14"/>
  <c r="B291" i="14"/>
  <c r="B292" i="14"/>
  <c r="B293" i="14"/>
  <c r="B294" i="14"/>
  <c r="B295" i="14"/>
  <c r="B296" i="14"/>
  <c r="B297" i="14"/>
  <c r="B298" i="14"/>
  <c r="B299" i="14"/>
  <c r="B300" i="14"/>
  <c r="B301" i="14"/>
  <c r="B302" i="14"/>
  <c r="B303" i="14"/>
  <c r="B304" i="14"/>
  <c r="B305" i="14"/>
  <c r="B306" i="14"/>
  <c r="B307" i="14"/>
  <c r="B308" i="14"/>
  <c r="B309" i="14"/>
  <c r="B310" i="14"/>
  <c r="B311" i="14"/>
  <c r="B312" i="14"/>
  <c r="B313" i="14"/>
  <c r="B314" i="14"/>
  <c r="B315" i="14"/>
  <c r="B316" i="14"/>
  <c r="B317" i="14"/>
  <c r="B318" i="14"/>
  <c r="B319" i="14"/>
  <c r="B320" i="14"/>
  <c r="B321" i="14"/>
  <c r="B322" i="14"/>
  <c r="B323" i="14"/>
  <c r="B324" i="14"/>
  <c r="B325" i="14"/>
  <c r="B326" i="14"/>
  <c r="B327" i="14"/>
  <c r="B328" i="14"/>
  <c r="B329" i="14"/>
  <c r="B330" i="14"/>
  <c r="B331" i="14"/>
  <c r="B332" i="14"/>
  <c r="B333" i="14"/>
  <c r="B334" i="14"/>
  <c r="B335" i="14"/>
  <c r="B336" i="14"/>
  <c r="B337" i="14"/>
  <c r="B338" i="14"/>
  <c r="B339" i="14"/>
  <c r="B340" i="14"/>
  <c r="B341" i="14"/>
  <c r="B342" i="14"/>
  <c r="B343" i="14"/>
  <c r="B344" i="14"/>
  <c r="B345" i="14"/>
  <c r="B346" i="14"/>
  <c r="B347" i="14"/>
  <c r="B348" i="14"/>
  <c r="B349" i="14"/>
  <c r="B350" i="14"/>
  <c r="B351" i="14"/>
  <c r="B352" i="14"/>
  <c r="B353" i="14"/>
  <c r="B354" i="14"/>
  <c r="B355" i="14"/>
  <c r="B356" i="14"/>
  <c r="B357" i="14"/>
  <c r="B358" i="14"/>
  <c r="B359" i="14"/>
  <c r="B360" i="14"/>
  <c r="B361" i="14"/>
  <c r="B362" i="14"/>
  <c r="B363" i="14"/>
  <c r="B364" i="14"/>
  <c r="B365" i="14"/>
  <c r="B366" i="14"/>
  <c r="B367" i="14"/>
  <c r="B368" i="14"/>
  <c r="B369" i="14"/>
  <c r="B370" i="14"/>
  <c r="B371" i="14"/>
  <c r="B372" i="14"/>
  <c r="B373" i="14"/>
  <c r="B374" i="14"/>
  <c r="B375" i="14"/>
  <c r="B376" i="14"/>
  <c r="B377" i="14"/>
  <c r="B378" i="14"/>
  <c r="B379" i="14"/>
  <c r="B380" i="14"/>
  <c r="B381" i="14"/>
  <c r="B382" i="14"/>
  <c r="B383" i="14"/>
  <c r="B384" i="14"/>
  <c r="B385" i="14"/>
  <c r="B386" i="14"/>
  <c r="B387" i="14"/>
  <c r="B388" i="14"/>
  <c r="B389" i="14"/>
  <c r="B390" i="14"/>
  <c r="B391" i="14"/>
  <c r="B392" i="14"/>
  <c r="B393" i="14"/>
  <c r="B394" i="14"/>
  <c r="B395" i="14"/>
  <c r="B396" i="14"/>
  <c r="B397" i="14"/>
  <c r="B398" i="14"/>
  <c r="B399" i="14"/>
  <c r="B400" i="14"/>
  <c r="B401" i="14"/>
  <c r="B402" i="14"/>
  <c r="B403" i="14"/>
  <c r="B404" i="14"/>
  <c r="B405" i="14"/>
  <c r="B406" i="14"/>
  <c r="B407" i="14"/>
  <c r="B408" i="14"/>
  <c r="B409" i="14"/>
  <c r="B410" i="14"/>
  <c r="B411" i="14"/>
  <c r="B412" i="14"/>
  <c r="B413" i="14"/>
  <c r="B414" i="14"/>
  <c r="B415" i="14"/>
  <c r="B416" i="14"/>
  <c r="B417" i="14"/>
  <c r="B418" i="14"/>
  <c r="B419" i="14"/>
  <c r="B420" i="14"/>
  <c r="B421" i="14"/>
  <c r="B422" i="14"/>
  <c r="B423" i="14"/>
  <c r="B424" i="14"/>
  <c r="B425" i="14"/>
  <c r="B426" i="14"/>
  <c r="B427" i="14"/>
  <c r="B428" i="14"/>
  <c r="B429" i="14"/>
  <c r="B430" i="14"/>
  <c r="B431" i="14"/>
  <c r="B432" i="14"/>
  <c r="B433" i="14"/>
  <c r="B434" i="14"/>
  <c r="B435" i="14"/>
  <c r="B436" i="14"/>
  <c r="B437" i="14"/>
  <c r="B438" i="14"/>
  <c r="B439" i="14"/>
  <c r="B440" i="14"/>
  <c r="B441" i="14"/>
  <c r="B442" i="14"/>
  <c r="B443" i="14"/>
  <c r="B444" i="14"/>
  <c r="B445" i="14"/>
  <c r="B446" i="14"/>
  <c r="B447" i="14"/>
  <c r="B448" i="14"/>
  <c r="B449" i="14"/>
  <c r="B450" i="14"/>
  <c r="B451" i="14"/>
  <c r="B452" i="14"/>
  <c r="B453" i="14"/>
  <c r="B454" i="14"/>
  <c r="B455" i="14"/>
  <c r="B456" i="14"/>
  <c r="B457" i="14"/>
  <c r="B458" i="14"/>
  <c r="B459" i="14"/>
  <c r="B460" i="14"/>
  <c r="B461" i="14"/>
  <c r="B462" i="14"/>
  <c r="B463" i="14"/>
  <c r="B464" i="14"/>
  <c r="B465" i="14"/>
  <c r="B466" i="14"/>
  <c r="B467" i="14"/>
  <c r="B468" i="14"/>
  <c r="B469" i="14"/>
  <c r="B470" i="14"/>
  <c r="B471" i="14"/>
  <c r="B472" i="14"/>
  <c r="B473" i="14"/>
  <c r="B474" i="14"/>
  <c r="B475" i="14"/>
  <c r="B476" i="14"/>
  <c r="B477" i="14"/>
  <c r="B478" i="14"/>
  <c r="B479" i="14"/>
  <c r="B480" i="14"/>
  <c r="B481" i="14"/>
  <c r="B482" i="14"/>
  <c r="B483" i="14"/>
  <c r="B484" i="14"/>
  <c r="B485" i="14"/>
  <c r="B486" i="14"/>
  <c r="B487" i="14"/>
  <c r="B488" i="14"/>
  <c r="B489" i="14"/>
  <c r="B490" i="14"/>
  <c r="B491" i="14"/>
  <c r="B492" i="14"/>
  <c r="B493" i="14"/>
  <c r="B494" i="14"/>
  <c r="B495" i="14"/>
  <c r="B496" i="14"/>
  <c r="B497" i="14"/>
  <c r="B498" i="14"/>
  <c r="B499" i="14"/>
  <c r="B500" i="14"/>
  <c r="B501" i="14"/>
  <c r="B502" i="14"/>
  <c r="B503" i="14"/>
  <c r="B504" i="14"/>
  <c r="B505" i="14"/>
  <c r="B506" i="14"/>
  <c r="B507" i="14"/>
  <c r="B508" i="14"/>
  <c r="B509" i="14"/>
  <c r="B510" i="14"/>
  <c r="B511" i="14"/>
  <c r="B512" i="14"/>
  <c r="B513" i="14"/>
  <c r="B514" i="14"/>
  <c r="B515" i="14"/>
  <c r="B516" i="14"/>
  <c r="B517" i="14"/>
  <c r="B518" i="14"/>
  <c r="B519" i="14"/>
  <c r="B520" i="14"/>
  <c r="B521" i="14"/>
  <c r="B522" i="14"/>
  <c r="B523" i="14"/>
  <c r="B524" i="14"/>
  <c r="B525" i="14"/>
  <c r="B526" i="14"/>
  <c r="B527" i="14"/>
  <c r="B528" i="14"/>
  <c r="B529" i="14"/>
  <c r="B530" i="14"/>
  <c r="B531" i="14"/>
  <c r="B532" i="14"/>
  <c r="B533" i="14"/>
  <c r="B534" i="14"/>
  <c r="B535" i="14"/>
  <c r="B536" i="14"/>
  <c r="B537" i="14"/>
  <c r="B538" i="14"/>
  <c r="B539" i="14"/>
  <c r="B540" i="14"/>
  <c r="B541" i="14"/>
  <c r="B542" i="14"/>
  <c r="B543" i="14"/>
  <c r="B544" i="14"/>
  <c r="B545" i="14"/>
  <c r="B546" i="14"/>
  <c r="B547" i="14"/>
  <c r="B548" i="14"/>
  <c r="B549" i="14"/>
  <c r="B550" i="14"/>
  <c r="B551" i="14"/>
  <c r="B552" i="14"/>
  <c r="B553" i="14"/>
  <c r="B554" i="14"/>
  <c r="B555" i="14"/>
  <c r="B556" i="14"/>
  <c r="B557" i="14"/>
  <c r="B558" i="14"/>
  <c r="B559" i="14"/>
  <c r="B560" i="14"/>
  <c r="B561" i="14"/>
  <c r="B562" i="14"/>
  <c r="B563" i="14"/>
  <c r="B564" i="14"/>
  <c r="B565" i="14"/>
  <c r="B566" i="14"/>
  <c r="B567" i="14"/>
  <c r="B568" i="14"/>
  <c r="B569" i="14"/>
  <c r="B570" i="14"/>
  <c r="B571" i="14"/>
  <c r="B572" i="14"/>
  <c r="B573" i="14"/>
  <c r="B574" i="14"/>
  <c r="B575" i="14"/>
  <c r="B576" i="14"/>
  <c r="B577" i="14"/>
  <c r="B578" i="14"/>
  <c r="B579" i="14"/>
  <c r="B580" i="14"/>
  <c r="B581" i="14"/>
  <c r="B582" i="14"/>
  <c r="B583" i="14"/>
  <c r="B584" i="14"/>
  <c r="B585" i="14"/>
  <c r="B586" i="14"/>
  <c r="B587" i="14"/>
  <c r="B588" i="14"/>
  <c r="B589" i="14"/>
  <c r="B590" i="14"/>
  <c r="B591" i="14"/>
  <c r="B592" i="14"/>
  <c r="B593" i="14"/>
  <c r="B594" i="14"/>
  <c r="B595" i="14"/>
  <c r="B596" i="14"/>
  <c r="B597" i="14"/>
  <c r="B598" i="14"/>
  <c r="B599" i="14"/>
  <c r="B600" i="14"/>
  <c r="B601" i="14"/>
  <c r="B602" i="14"/>
  <c r="B603" i="14"/>
  <c r="B604" i="14"/>
  <c r="B605" i="14"/>
  <c r="B606" i="14"/>
  <c r="B607" i="14"/>
  <c r="B608" i="14"/>
  <c r="B609" i="14"/>
  <c r="B610" i="14"/>
  <c r="B611" i="14"/>
  <c r="B612" i="14"/>
  <c r="B613" i="14"/>
  <c r="B614" i="14"/>
  <c r="B615" i="14"/>
  <c r="B616" i="14"/>
  <c r="B617" i="14"/>
  <c r="B618" i="14"/>
  <c r="B619" i="14"/>
  <c r="B620" i="14"/>
  <c r="B621" i="14"/>
  <c r="B622" i="14"/>
  <c r="B623" i="14"/>
  <c r="B624" i="14"/>
  <c r="B625" i="14"/>
  <c r="B626" i="14"/>
  <c r="B627" i="14"/>
  <c r="B628" i="14"/>
  <c r="B629" i="14"/>
  <c r="B630" i="14"/>
  <c r="B631" i="14"/>
  <c r="B632" i="14"/>
  <c r="B633" i="14"/>
  <c r="B634" i="14"/>
  <c r="B635" i="14"/>
  <c r="B636" i="14"/>
  <c r="B637" i="14"/>
  <c r="B638" i="14"/>
  <c r="B639" i="14"/>
  <c r="B640" i="14"/>
  <c r="B641" i="14"/>
  <c r="B642" i="14"/>
  <c r="B643" i="14"/>
  <c r="B644" i="14"/>
  <c r="B645" i="14"/>
  <c r="B646" i="14"/>
  <c r="B647" i="14"/>
  <c r="B648" i="14"/>
  <c r="B649" i="14"/>
  <c r="B650" i="14"/>
  <c r="B651" i="14"/>
  <c r="B652" i="14"/>
  <c r="B653" i="14"/>
  <c r="B654" i="14"/>
  <c r="B655" i="14"/>
  <c r="B656" i="14"/>
  <c r="B657" i="14"/>
  <c r="B658" i="14"/>
  <c r="B659" i="14"/>
  <c r="B660" i="14"/>
  <c r="B661" i="14"/>
  <c r="B662" i="14"/>
  <c r="B663" i="14"/>
  <c r="B664" i="14"/>
  <c r="B665" i="14"/>
  <c r="B666" i="14"/>
  <c r="B667" i="14"/>
  <c r="B668" i="14"/>
  <c r="B669" i="14"/>
  <c r="B670" i="14"/>
  <c r="B671" i="14"/>
  <c r="B672" i="14"/>
  <c r="B673" i="14"/>
  <c r="B674" i="14"/>
  <c r="B675" i="14"/>
  <c r="B676" i="14"/>
  <c r="B677" i="14"/>
  <c r="B678" i="14"/>
  <c r="B679" i="14"/>
  <c r="B680" i="14"/>
  <c r="B681" i="14"/>
  <c r="B682" i="14"/>
  <c r="B683" i="14"/>
  <c r="B684" i="14"/>
  <c r="B685" i="14"/>
  <c r="B686" i="14"/>
  <c r="B687" i="14"/>
  <c r="B688" i="14"/>
  <c r="B689" i="14"/>
  <c r="B690" i="14"/>
  <c r="B691" i="14"/>
  <c r="B692" i="14"/>
  <c r="B693" i="14"/>
  <c r="B694" i="14"/>
  <c r="B695" i="14"/>
  <c r="B696" i="14"/>
  <c r="B697" i="14"/>
  <c r="B698" i="14"/>
  <c r="B699" i="14"/>
  <c r="B700" i="14"/>
  <c r="B701" i="14"/>
  <c r="B702" i="14"/>
  <c r="B703" i="14"/>
  <c r="B704" i="14"/>
  <c r="B705" i="14"/>
  <c r="B706" i="14"/>
  <c r="B707" i="14"/>
  <c r="B708" i="14"/>
  <c r="B709" i="14"/>
  <c r="B710" i="14"/>
  <c r="B711" i="14"/>
  <c r="B712" i="14"/>
  <c r="B713" i="14"/>
  <c r="B714" i="14"/>
  <c r="B715" i="14"/>
  <c r="B716" i="14"/>
  <c r="B717" i="14"/>
  <c r="B718" i="14"/>
  <c r="B719" i="14"/>
  <c r="B720" i="14"/>
  <c r="B721" i="14"/>
  <c r="B722" i="14"/>
  <c r="B723" i="14"/>
  <c r="B724" i="14"/>
  <c r="B725" i="14"/>
  <c r="B726" i="14"/>
  <c r="B727" i="14"/>
  <c r="B728" i="14"/>
  <c r="B729" i="14"/>
  <c r="B730" i="14"/>
  <c r="B731" i="14"/>
  <c r="B732" i="14"/>
  <c r="B733" i="14"/>
  <c r="B734" i="14"/>
  <c r="B735" i="14"/>
  <c r="B736" i="14"/>
  <c r="B737" i="14"/>
  <c r="B738" i="14"/>
  <c r="B739" i="14"/>
  <c r="B740" i="14"/>
  <c r="B741" i="14"/>
  <c r="B742" i="14"/>
  <c r="B743" i="14"/>
  <c r="B744" i="14"/>
  <c r="B745" i="14"/>
  <c r="B746" i="14"/>
  <c r="B747" i="14"/>
  <c r="B748" i="14"/>
  <c r="B749" i="14"/>
  <c r="B750" i="14"/>
  <c r="B751" i="14"/>
  <c r="B752" i="14"/>
  <c r="B753" i="14"/>
  <c r="B754" i="14"/>
  <c r="B755" i="14"/>
  <c r="B756" i="14"/>
  <c r="B757" i="14"/>
  <c r="B758" i="14"/>
  <c r="B759" i="14"/>
  <c r="B760" i="14"/>
  <c r="B761" i="14"/>
  <c r="B762" i="14"/>
  <c r="B763" i="14"/>
  <c r="B764" i="14"/>
  <c r="B765" i="14"/>
  <c r="B766" i="14"/>
  <c r="B767" i="14"/>
  <c r="B768" i="14"/>
  <c r="B769" i="14"/>
  <c r="B770" i="14"/>
  <c r="B771" i="14"/>
  <c r="B772" i="14"/>
  <c r="B773" i="14"/>
  <c r="B774" i="14"/>
  <c r="B775" i="14"/>
  <c r="B776" i="14"/>
  <c r="B777" i="14"/>
  <c r="B778" i="14"/>
  <c r="B779" i="14"/>
  <c r="B780" i="14"/>
  <c r="B781" i="14"/>
  <c r="B782" i="14"/>
  <c r="B783" i="14"/>
  <c r="B784" i="14"/>
  <c r="B785" i="14"/>
  <c r="B786" i="14"/>
  <c r="B787" i="14"/>
  <c r="B788" i="14"/>
  <c r="B789" i="14"/>
  <c r="B790" i="14"/>
  <c r="B791" i="14"/>
  <c r="B792" i="14"/>
  <c r="B793" i="14"/>
  <c r="B794" i="14"/>
  <c r="B795" i="14"/>
  <c r="B796" i="14"/>
  <c r="B797" i="14"/>
  <c r="B798" i="14"/>
  <c r="B799" i="14"/>
  <c r="B800" i="14"/>
  <c r="B801" i="14"/>
  <c r="B802" i="14"/>
  <c r="B803" i="14"/>
  <c r="B804" i="14"/>
  <c r="B805" i="14"/>
  <c r="B806" i="14"/>
  <c r="B807" i="14"/>
  <c r="B808" i="14"/>
  <c r="B809" i="14"/>
  <c r="B810" i="14"/>
  <c r="B811" i="14"/>
  <c r="B812" i="14"/>
  <c r="B813" i="14"/>
  <c r="B814" i="14"/>
  <c r="B815" i="14"/>
  <c r="B816" i="14"/>
  <c r="B817" i="14"/>
  <c r="B818" i="14"/>
  <c r="B819" i="14"/>
  <c r="B820" i="14"/>
  <c r="B821" i="14"/>
  <c r="B822" i="14"/>
  <c r="B823" i="14"/>
  <c r="B824" i="14"/>
  <c r="B825" i="14"/>
  <c r="B826" i="14"/>
  <c r="B827" i="14"/>
  <c r="B828" i="14"/>
  <c r="B829" i="14"/>
  <c r="B830" i="14"/>
  <c r="B831" i="14"/>
  <c r="B832" i="14"/>
  <c r="B833" i="14"/>
  <c r="B834" i="14"/>
  <c r="B835" i="14"/>
  <c r="B836" i="14"/>
  <c r="B837" i="14"/>
  <c r="B838" i="14"/>
  <c r="B839" i="14"/>
  <c r="B840" i="14"/>
  <c r="B841" i="14"/>
  <c r="B842" i="14"/>
  <c r="B843" i="14"/>
  <c r="B844" i="14"/>
  <c r="B845" i="14"/>
  <c r="B846" i="14"/>
  <c r="B847" i="14"/>
  <c r="B848" i="14"/>
  <c r="B849" i="14"/>
  <c r="B850" i="14"/>
  <c r="B851" i="14"/>
  <c r="B852" i="14"/>
  <c r="B853" i="14"/>
  <c r="B854" i="14"/>
  <c r="B855" i="14"/>
  <c r="B856" i="14"/>
  <c r="B857" i="14"/>
  <c r="B858" i="14"/>
  <c r="B859" i="14"/>
  <c r="B860" i="14"/>
  <c r="B861" i="14"/>
  <c r="B862" i="14"/>
  <c r="B863" i="14"/>
  <c r="B864" i="14"/>
  <c r="B865" i="14"/>
  <c r="B866" i="14"/>
  <c r="B867" i="14"/>
  <c r="B868" i="14"/>
  <c r="B869" i="14"/>
  <c r="B870" i="14"/>
  <c r="B871" i="14"/>
  <c r="B872" i="14"/>
  <c r="B873" i="14"/>
  <c r="B874" i="14"/>
  <c r="B875" i="14"/>
  <c r="B876" i="14"/>
  <c r="B877" i="14"/>
  <c r="B878" i="14"/>
  <c r="B879" i="14"/>
  <c r="B880" i="14"/>
  <c r="B881" i="14"/>
  <c r="B882" i="14"/>
  <c r="B883" i="14"/>
  <c r="B884" i="14"/>
  <c r="B885" i="14"/>
  <c r="B886" i="14"/>
  <c r="B887" i="14"/>
  <c r="B888" i="14"/>
  <c r="B889" i="14"/>
  <c r="B890" i="14"/>
  <c r="B891" i="14"/>
  <c r="B892" i="14"/>
  <c r="B893" i="14"/>
  <c r="B894" i="14"/>
  <c r="B895" i="14"/>
  <c r="B896" i="14"/>
  <c r="B897" i="14"/>
  <c r="B898" i="14"/>
  <c r="B899" i="14"/>
  <c r="B900" i="14"/>
  <c r="B901" i="14"/>
  <c r="B902" i="14"/>
  <c r="B903" i="14"/>
  <c r="B904" i="14"/>
  <c r="B905" i="14"/>
  <c r="B906" i="14"/>
  <c r="B907" i="14"/>
  <c r="B908" i="14"/>
  <c r="B909" i="14"/>
  <c r="B910" i="14"/>
  <c r="B911" i="14"/>
  <c r="B912" i="14"/>
  <c r="B913" i="14"/>
  <c r="B914" i="14"/>
  <c r="B915" i="14"/>
  <c r="B916" i="14"/>
  <c r="B917" i="14"/>
  <c r="B918" i="14"/>
  <c r="B919" i="14"/>
  <c r="B920" i="14"/>
  <c r="B921" i="14"/>
  <c r="B922" i="14"/>
  <c r="B923" i="14"/>
  <c r="B924" i="14"/>
  <c r="B925" i="14"/>
  <c r="B926" i="14"/>
  <c r="B927" i="14"/>
  <c r="B928" i="14"/>
  <c r="B929" i="14"/>
  <c r="B930" i="14"/>
  <c r="B931" i="14"/>
  <c r="B932" i="14"/>
  <c r="B933" i="14"/>
  <c r="B934" i="14"/>
  <c r="B935" i="14"/>
  <c r="B936" i="14"/>
  <c r="B937" i="14"/>
  <c r="B938" i="14"/>
  <c r="B939" i="14"/>
  <c r="B940" i="14"/>
  <c r="B941" i="14"/>
  <c r="B942" i="14"/>
  <c r="B943" i="14"/>
  <c r="B944" i="14"/>
  <c r="B945" i="14"/>
  <c r="B946" i="14"/>
  <c r="B947" i="14"/>
  <c r="B948" i="14"/>
  <c r="B949" i="14"/>
  <c r="B950" i="14"/>
  <c r="B951" i="14"/>
  <c r="B952" i="14"/>
  <c r="B953" i="14"/>
  <c r="B954" i="14"/>
  <c r="B955" i="14"/>
  <c r="B956" i="14"/>
  <c r="B957" i="14"/>
  <c r="B958" i="14"/>
  <c r="B959" i="14"/>
  <c r="B960" i="14"/>
  <c r="B961" i="14"/>
  <c r="B962" i="14"/>
  <c r="B963" i="14"/>
  <c r="B964" i="14"/>
  <c r="B965" i="14"/>
  <c r="B966" i="14"/>
  <c r="B967" i="14"/>
  <c r="B968" i="14"/>
  <c r="B969" i="14"/>
  <c r="B970" i="14"/>
  <c r="B971" i="14"/>
  <c r="B972" i="14"/>
  <c r="B973" i="14"/>
  <c r="B974" i="14"/>
  <c r="B975" i="14"/>
  <c r="B976" i="14"/>
  <c r="B977" i="14"/>
  <c r="B978" i="14"/>
  <c r="B979" i="14"/>
  <c r="B980" i="14"/>
  <c r="B981" i="14"/>
  <c r="B982" i="14"/>
  <c r="B983" i="14"/>
  <c r="B984" i="14"/>
  <c r="B985" i="14"/>
  <c r="B986" i="14"/>
  <c r="B987" i="14"/>
  <c r="B988" i="14"/>
  <c r="B989" i="14"/>
  <c r="B990" i="14"/>
  <c r="B991" i="14"/>
  <c r="B992" i="14"/>
  <c r="B993" i="14"/>
  <c r="B994" i="14"/>
  <c r="B995" i="14"/>
  <c r="B996" i="14"/>
  <c r="B997" i="14"/>
  <c r="B998" i="14"/>
  <c r="B999" i="14"/>
  <c r="B1000" i="14"/>
  <c r="B1001" i="14"/>
  <c r="B1002" i="14"/>
  <c r="B1003" i="14"/>
  <c r="B1004" i="14"/>
  <c r="B1005" i="14"/>
  <c r="B1006" i="14"/>
  <c r="B1007" i="14"/>
  <c r="B1008" i="14"/>
  <c r="B1009" i="14"/>
  <c r="B1010" i="14"/>
  <c r="B1011" i="14"/>
  <c r="B1012" i="14"/>
  <c r="B1013" i="14"/>
  <c r="B1014" i="14"/>
  <c r="B1015" i="14"/>
  <c r="B1016" i="14"/>
  <c r="B1017" i="14"/>
  <c r="B1018" i="14"/>
  <c r="B1019" i="14"/>
  <c r="B1020" i="14"/>
  <c r="B1021" i="14"/>
  <c r="B1022" i="14"/>
  <c r="B1023" i="14"/>
  <c r="B1024" i="14"/>
  <c r="B1025" i="14"/>
  <c r="B1026" i="14"/>
  <c r="B1027" i="14"/>
  <c r="B1028" i="14"/>
  <c r="B1029" i="14"/>
  <c r="B1030" i="14"/>
  <c r="B1031" i="14"/>
  <c r="B1032" i="14"/>
  <c r="B1033" i="14"/>
  <c r="B1034" i="14"/>
  <c r="B1035" i="14"/>
  <c r="B1036" i="14"/>
  <c r="B1037" i="14"/>
  <c r="B1038" i="14"/>
  <c r="B1039" i="14"/>
  <c r="B1040" i="14"/>
  <c r="B1041" i="14"/>
  <c r="B1042" i="14"/>
  <c r="B1043" i="14"/>
  <c r="B1044" i="14"/>
  <c r="B1045" i="14"/>
  <c r="B1046" i="14"/>
  <c r="B1047" i="14"/>
  <c r="B1048" i="14"/>
  <c r="B1049" i="14"/>
  <c r="B1050" i="14"/>
  <c r="B1051" i="14"/>
  <c r="B1052" i="14"/>
  <c r="B1053" i="14"/>
  <c r="B1054" i="14"/>
  <c r="B1055" i="14"/>
  <c r="B1056" i="14"/>
  <c r="B1057" i="14"/>
  <c r="B1058" i="14"/>
  <c r="B1059" i="14"/>
  <c r="B1060" i="14"/>
  <c r="B1061" i="14"/>
  <c r="B1062" i="14"/>
  <c r="B1063" i="14"/>
  <c r="B1064" i="14"/>
  <c r="B1065" i="14"/>
  <c r="B1066" i="14"/>
  <c r="B1067" i="14"/>
  <c r="B1068" i="14"/>
  <c r="B1069" i="14"/>
  <c r="B1070" i="14"/>
  <c r="B1071" i="14"/>
  <c r="B1072" i="14"/>
  <c r="B1073" i="14"/>
  <c r="B1074" i="14"/>
  <c r="B1075" i="14"/>
  <c r="B1076" i="14"/>
  <c r="B1077" i="14"/>
  <c r="B1078" i="14"/>
  <c r="B1079" i="14"/>
  <c r="B1080" i="14"/>
  <c r="B1081" i="14"/>
  <c r="B1082" i="14"/>
  <c r="B1083" i="14"/>
  <c r="B1084" i="14"/>
  <c r="B1085" i="14"/>
  <c r="B1086" i="14"/>
  <c r="B1087" i="14"/>
  <c r="B1088" i="14"/>
  <c r="B1089" i="14"/>
  <c r="A91" i="14"/>
  <c r="A92" i="14"/>
  <c r="A93" i="14"/>
  <c r="A94" i="14"/>
  <c r="A95" i="14"/>
  <c r="A96" i="14"/>
  <c r="A97" i="14"/>
  <c r="A98" i="14"/>
  <c r="A99" i="14"/>
  <c r="A100" i="14"/>
  <c r="A101" i="14"/>
  <c r="A102" i="14"/>
  <c r="A103" i="14"/>
  <c r="A104" i="14"/>
  <c r="A105" i="14"/>
  <c r="A106" i="14"/>
  <c r="A107" i="14"/>
  <c r="A108" i="14"/>
  <c r="A109" i="14"/>
  <c r="A110" i="14"/>
  <c r="A111" i="14"/>
  <c r="A112" i="14"/>
  <c r="A113" i="14"/>
  <c r="A114" i="14"/>
  <c r="A115" i="14"/>
  <c r="A116" i="14"/>
  <c r="A117" i="14"/>
  <c r="A118" i="14"/>
  <c r="A119" i="14"/>
  <c r="A120" i="14"/>
  <c r="A121" i="14"/>
  <c r="A122" i="14"/>
  <c r="A123" i="14"/>
  <c r="A124" i="14"/>
  <c r="A125" i="14"/>
  <c r="A126" i="14"/>
  <c r="A127" i="14"/>
  <c r="A128" i="14"/>
  <c r="A129" i="14"/>
  <c r="A130" i="14"/>
  <c r="A131" i="14"/>
  <c r="A132" i="14"/>
  <c r="A133" i="14"/>
  <c r="A134" i="14"/>
  <c r="A135" i="14"/>
  <c r="A136" i="14"/>
  <c r="A137" i="14"/>
  <c r="A138" i="14"/>
  <c r="A139" i="14"/>
  <c r="A140" i="14"/>
  <c r="A141" i="14"/>
  <c r="A142" i="14"/>
  <c r="A143" i="14"/>
  <c r="A144" i="14"/>
  <c r="A145" i="14"/>
  <c r="A146" i="14"/>
  <c r="A147" i="14"/>
  <c r="A148" i="14"/>
  <c r="A149" i="14"/>
  <c r="A150" i="14"/>
  <c r="A151" i="14"/>
  <c r="A152" i="14"/>
  <c r="A153" i="14"/>
  <c r="A154" i="14"/>
  <c r="A155" i="14"/>
  <c r="A156" i="14"/>
  <c r="A157" i="14"/>
  <c r="A158" i="14"/>
  <c r="A159" i="14"/>
  <c r="A160" i="14"/>
  <c r="A161" i="14"/>
  <c r="A162" i="14"/>
  <c r="A163" i="14"/>
  <c r="A164" i="14"/>
  <c r="A165" i="14"/>
  <c r="A166" i="14"/>
  <c r="A167" i="14"/>
  <c r="A168" i="14"/>
  <c r="A169" i="14"/>
  <c r="A170" i="14"/>
  <c r="A171" i="14"/>
  <c r="A172" i="14"/>
  <c r="A173" i="14"/>
  <c r="A174" i="14"/>
  <c r="A175" i="14"/>
  <c r="A176" i="14"/>
  <c r="A177" i="14"/>
  <c r="A178" i="14"/>
  <c r="A179" i="14"/>
  <c r="A180" i="14"/>
  <c r="A181" i="14"/>
  <c r="A182" i="14"/>
  <c r="A183" i="14"/>
  <c r="A184" i="14"/>
  <c r="A185" i="14"/>
  <c r="A186" i="14"/>
  <c r="A187" i="14"/>
  <c r="A188" i="14"/>
  <c r="A189" i="14"/>
  <c r="A190" i="14"/>
  <c r="A191" i="14"/>
  <c r="A192" i="14"/>
  <c r="A193" i="14"/>
  <c r="A194" i="14"/>
  <c r="A195" i="14"/>
  <c r="A196" i="14"/>
  <c r="A197" i="14"/>
  <c r="A198" i="14"/>
  <c r="A199" i="14"/>
  <c r="A200" i="14"/>
  <c r="A201" i="14"/>
  <c r="A202" i="14"/>
  <c r="A203" i="14"/>
  <c r="A204" i="14"/>
  <c r="A205" i="14"/>
  <c r="A206" i="14"/>
  <c r="A207" i="14"/>
  <c r="A208" i="14"/>
  <c r="A209" i="14"/>
  <c r="A210" i="14"/>
  <c r="A211" i="14"/>
  <c r="A212" i="14"/>
  <c r="A213" i="14"/>
  <c r="A214" i="14"/>
  <c r="A215" i="14"/>
  <c r="A216" i="14"/>
  <c r="A217" i="14"/>
  <c r="A218" i="14"/>
  <c r="A219" i="14"/>
  <c r="A220" i="14"/>
  <c r="A221" i="14"/>
  <c r="A222" i="14"/>
  <c r="A223" i="14"/>
  <c r="A224" i="14"/>
  <c r="A225" i="14"/>
  <c r="A226" i="14"/>
  <c r="A227" i="14"/>
  <c r="A228" i="14"/>
  <c r="A229" i="14"/>
  <c r="A230" i="14"/>
  <c r="A231" i="14"/>
  <c r="A232" i="14"/>
  <c r="A233" i="14"/>
  <c r="A234" i="14"/>
  <c r="A235" i="14"/>
  <c r="A236" i="14"/>
  <c r="A237" i="14"/>
  <c r="A238" i="14"/>
  <c r="A239" i="14"/>
  <c r="A240" i="14"/>
  <c r="A241" i="14"/>
  <c r="A242" i="14"/>
  <c r="A243" i="14"/>
  <c r="A244" i="14"/>
  <c r="A245" i="14"/>
  <c r="A246" i="14"/>
  <c r="A247" i="14"/>
  <c r="A248" i="14"/>
  <c r="A249" i="14"/>
  <c r="A250" i="14"/>
  <c r="A251" i="14"/>
  <c r="A252" i="14"/>
  <c r="A253" i="14"/>
  <c r="A254" i="14"/>
  <c r="A255" i="14"/>
  <c r="A256" i="14"/>
  <c r="A257" i="14"/>
  <c r="A258" i="14"/>
  <c r="A259" i="14"/>
  <c r="A260" i="14"/>
  <c r="A261" i="14"/>
  <c r="A262" i="14"/>
  <c r="A263" i="14"/>
  <c r="A264" i="14"/>
  <c r="A265" i="14"/>
  <c r="A266" i="14"/>
  <c r="A267" i="14"/>
  <c r="A268" i="14"/>
  <c r="A269" i="14"/>
  <c r="A270" i="14"/>
  <c r="A271" i="14"/>
  <c r="A272" i="14"/>
  <c r="A273" i="14"/>
  <c r="A274" i="14"/>
  <c r="A275" i="14"/>
  <c r="A276" i="14"/>
  <c r="A277" i="14"/>
  <c r="A278" i="14"/>
  <c r="A279" i="14"/>
  <c r="A280" i="14"/>
  <c r="A281" i="14"/>
  <c r="A282" i="14"/>
  <c r="A283" i="14"/>
  <c r="A284" i="14"/>
  <c r="A285" i="14"/>
  <c r="A286" i="14"/>
  <c r="A287" i="14"/>
  <c r="A288" i="14"/>
  <c r="A289" i="14"/>
  <c r="A290" i="14"/>
  <c r="A291" i="14"/>
  <c r="A292" i="14"/>
  <c r="A293" i="14"/>
  <c r="A294" i="14"/>
  <c r="A295" i="14"/>
  <c r="A296" i="14"/>
  <c r="A297" i="14"/>
  <c r="A298" i="14"/>
  <c r="A299" i="14"/>
  <c r="A300" i="14"/>
  <c r="A301" i="14"/>
  <c r="A302" i="14"/>
  <c r="A303" i="14"/>
  <c r="A304" i="14"/>
  <c r="A305" i="14"/>
  <c r="A306" i="14"/>
  <c r="A307" i="14"/>
  <c r="A308" i="14"/>
  <c r="A309" i="14"/>
  <c r="A310" i="14"/>
  <c r="A311" i="14"/>
  <c r="A312" i="14"/>
  <c r="A313" i="14"/>
  <c r="A314" i="14"/>
  <c r="A315" i="14"/>
  <c r="A316" i="14"/>
  <c r="A317" i="14"/>
  <c r="A318" i="14"/>
  <c r="A319" i="14"/>
  <c r="A320" i="14"/>
  <c r="A321" i="14"/>
  <c r="A322" i="14"/>
  <c r="A323" i="14"/>
  <c r="A324" i="14"/>
  <c r="A325" i="14"/>
  <c r="A326" i="14"/>
  <c r="A327" i="14"/>
  <c r="A328" i="14"/>
  <c r="A329" i="14"/>
  <c r="A330" i="14"/>
  <c r="A331" i="14"/>
  <c r="A332" i="14"/>
  <c r="A333" i="14"/>
  <c r="A334" i="14"/>
  <c r="A335" i="14"/>
  <c r="A336" i="14"/>
  <c r="A337" i="14"/>
  <c r="A338" i="14"/>
  <c r="A339" i="14"/>
  <c r="A340" i="14"/>
  <c r="A341" i="14"/>
  <c r="A342" i="14"/>
  <c r="A343" i="14"/>
  <c r="A344" i="14"/>
  <c r="A345" i="14"/>
  <c r="A346" i="14"/>
  <c r="A347" i="14"/>
  <c r="A348" i="14"/>
  <c r="A349" i="14"/>
  <c r="A350" i="14"/>
  <c r="A351" i="14"/>
  <c r="A352" i="14"/>
  <c r="A353" i="14"/>
  <c r="A354" i="14"/>
  <c r="A355" i="14"/>
  <c r="A356" i="14"/>
  <c r="A357" i="14"/>
  <c r="A358" i="14"/>
  <c r="A359" i="14"/>
  <c r="A360" i="14"/>
  <c r="A361" i="14"/>
  <c r="A362" i="14"/>
  <c r="A363" i="14"/>
  <c r="A364" i="14"/>
  <c r="A365" i="14"/>
  <c r="A366" i="14"/>
  <c r="A367" i="14"/>
  <c r="A368" i="14"/>
  <c r="A369" i="14"/>
  <c r="A370" i="14"/>
  <c r="A371" i="14"/>
  <c r="A372" i="14"/>
  <c r="A373" i="14"/>
  <c r="A374" i="14"/>
  <c r="A375" i="14"/>
  <c r="A376" i="14"/>
  <c r="A377" i="14"/>
  <c r="A378" i="14"/>
  <c r="A379" i="14"/>
  <c r="A380" i="14"/>
  <c r="A381" i="14"/>
  <c r="A382" i="14"/>
  <c r="A383" i="14"/>
  <c r="A384" i="14"/>
  <c r="A385" i="14"/>
  <c r="A386" i="14"/>
  <c r="A387" i="14"/>
  <c r="A388" i="14"/>
  <c r="A389" i="14"/>
  <c r="A390" i="14"/>
  <c r="A391" i="14"/>
  <c r="A392" i="14"/>
  <c r="A393" i="14"/>
  <c r="A394" i="14"/>
  <c r="A395" i="14"/>
  <c r="A396" i="14"/>
  <c r="A397" i="14"/>
  <c r="A398" i="14"/>
  <c r="A399" i="14"/>
  <c r="A400" i="14"/>
  <c r="A401" i="14"/>
  <c r="A402" i="14"/>
  <c r="A403" i="14"/>
  <c r="A404" i="14"/>
  <c r="A405" i="14"/>
  <c r="A406" i="14"/>
  <c r="A407" i="14"/>
  <c r="A408" i="14"/>
  <c r="A409" i="14"/>
  <c r="A410" i="14"/>
  <c r="A411" i="14"/>
  <c r="A412" i="14"/>
  <c r="A413" i="14"/>
  <c r="A414" i="14"/>
  <c r="A415" i="14"/>
  <c r="A416" i="14"/>
  <c r="A417" i="14"/>
  <c r="A418" i="14"/>
  <c r="A419" i="14"/>
  <c r="A420" i="14"/>
  <c r="A421" i="14"/>
  <c r="A422" i="14"/>
  <c r="A423" i="14"/>
  <c r="A424" i="14"/>
  <c r="A425" i="14"/>
  <c r="A426" i="14"/>
  <c r="A427" i="14"/>
  <c r="A428" i="14"/>
  <c r="A429" i="14"/>
  <c r="A430" i="14"/>
  <c r="A431" i="14"/>
  <c r="A432" i="14"/>
  <c r="A433" i="14"/>
  <c r="A434" i="14"/>
  <c r="A435" i="14"/>
  <c r="A436" i="14"/>
  <c r="A437" i="14"/>
  <c r="A438" i="14"/>
  <c r="A439" i="14"/>
  <c r="A440" i="14"/>
  <c r="A441" i="14"/>
  <c r="A442" i="14"/>
  <c r="A443" i="14"/>
  <c r="A444" i="14"/>
  <c r="A445" i="14"/>
  <c r="A446" i="14"/>
  <c r="A447" i="14"/>
  <c r="A448" i="14"/>
  <c r="A449" i="14"/>
  <c r="A450" i="14"/>
  <c r="A451" i="14"/>
  <c r="A452" i="14"/>
  <c r="A453" i="14"/>
  <c r="A454" i="14"/>
  <c r="A455" i="14"/>
  <c r="A456" i="14"/>
  <c r="A457" i="14"/>
  <c r="A458" i="14"/>
  <c r="A459" i="14"/>
  <c r="A460" i="14"/>
  <c r="A461" i="14"/>
  <c r="A462" i="14"/>
  <c r="A463" i="14"/>
  <c r="A464" i="14"/>
  <c r="A465" i="14"/>
  <c r="A466" i="14"/>
  <c r="A467" i="14"/>
  <c r="A468" i="14"/>
  <c r="A469" i="14"/>
  <c r="A470" i="14"/>
  <c r="A471" i="14"/>
  <c r="A472" i="14"/>
  <c r="A473" i="14"/>
  <c r="A474" i="14"/>
  <c r="A475" i="14"/>
  <c r="A476" i="14"/>
  <c r="A477" i="14"/>
  <c r="A478" i="14"/>
  <c r="A479" i="14"/>
  <c r="A480" i="14"/>
  <c r="A481" i="14"/>
  <c r="A482" i="14"/>
  <c r="A483" i="14"/>
  <c r="A484" i="14"/>
  <c r="A485" i="14"/>
  <c r="A486" i="14"/>
  <c r="A487" i="14"/>
  <c r="A488" i="14"/>
  <c r="A489" i="14"/>
  <c r="A490" i="14"/>
  <c r="A491" i="14"/>
  <c r="A492" i="14"/>
  <c r="A493" i="14"/>
  <c r="A494" i="14"/>
  <c r="A495" i="14"/>
  <c r="A496" i="14"/>
  <c r="A497" i="14"/>
  <c r="A498" i="14"/>
  <c r="A499" i="14"/>
  <c r="A500" i="14"/>
  <c r="A501" i="14"/>
  <c r="A502" i="14"/>
  <c r="A503" i="14"/>
  <c r="A504" i="14"/>
  <c r="A505" i="14"/>
  <c r="A506" i="14"/>
  <c r="A507" i="14"/>
  <c r="A508" i="14"/>
  <c r="A509" i="14"/>
  <c r="A510" i="14"/>
  <c r="A511" i="14"/>
  <c r="A512" i="14"/>
  <c r="A513" i="14"/>
  <c r="A514" i="14"/>
  <c r="A515" i="14"/>
  <c r="A516" i="14"/>
  <c r="A517" i="14"/>
  <c r="A518" i="14"/>
  <c r="A519" i="14"/>
  <c r="A520" i="14"/>
  <c r="A521" i="14"/>
  <c r="A522" i="14"/>
  <c r="A523" i="14"/>
  <c r="A524" i="14"/>
  <c r="A525" i="14"/>
  <c r="A526" i="14"/>
  <c r="A527" i="14"/>
  <c r="A528" i="14"/>
  <c r="A529" i="14"/>
  <c r="A530" i="14"/>
  <c r="A531" i="14"/>
  <c r="A532" i="14"/>
  <c r="A533" i="14"/>
  <c r="A534" i="14"/>
  <c r="A535" i="14"/>
  <c r="A536" i="14"/>
  <c r="A537" i="14"/>
  <c r="A538" i="14"/>
  <c r="A539" i="14"/>
  <c r="A540" i="14"/>
  <c r="A541" i="14"/>
  <c r="A542" i="14"/>
  <c r="A543" i="14"/>
  <c r="A544" i="14"/>
  <c r="A545" i="14"/>
  <c r="A546" i="14"/>
  <c r="A547" i="14"/>
  <c r="A548" i="14"/>
  <c r="A549" i="14"/>
  <c r="A550" i="14"/>
  <c r="A551" i="14"/>
  <c r="A552" i="14"/>
  <c r="A553" i="14"/>
  <c r="A554" i="14"/>
  <c r="A555" i="14"/>
  <c r="A556" i="14"/>
  <c r="A557" i="14"/>
  <c r="A558" i="14"/>
  <c r="A559" i="14"/>
  <c r="A560" i="14"/>
  <c r="A561" i="14"/>
  <c r="A562" i="14"/>
  <c r="A563" i="14"/>
  <c r="A564" i="14"/>
  <c r="A565" i="14"/>
  <c r="A566" i="14"/>
  <c r="A567" i="14"/>
  <c r="A568" i="14"/>
  <c r="A569" i="14"/>
  <c r="A570" i="14"/>
  <c r="A571" i="14"/>
  <c r="A572" i="14"/>
  <c r="A573" i="14"/>
  <c r="A574" i="14"/>
  <c r="A575" i="14"/>
  <c r="A576" i="14"/>
  <c r="A577" i="14"/>
  <c r="A578" i="14"/>
  <c r="A579" i="14"/>
  <c r="A580" i="14"/>
  <c r="A581" i="14"/>
  <c r="A582" i="14"/>
  <c r="A583" i="14"/>
  <c r="A584" i="14"/>
  <c r="A585" i="14"/>
  <c r="A586" i="14"/>
  <c r="A587" i="14"/>
  <c r="A588" i="14"/>
  <c r="A589" i="14"/>
  <c r="A590" i="14"/>
  <c r="A591" i="14"/>
  <c r="A592" i="14"/>
  <c r="A593" i="14"/>
  <c r="A594" i="14"/>
  <c r="A595" i="14"/>
  <c r="A596" i="14"/>
  <c r="A597" i="14"/>
  <c r="A598" i="14"/>
  <c r="A599" i="14"/>
  <c r="A600" i="14"/>
  <c r="A601" i="14"/>
  <c r="A602" i="14"/>
  <c r="A603" i="14"/>
  <c r="A604" i="14"/>
  <c r="A605" i="14"/>
  <c r="A606" i="14"/>
  <c r="A607" i="14"/>
  <c r="A608" i="14"/>
  <c r="A609" i="14"/>
  <c r="A610" i="14"/>
  <c r="A611" i="14"/>
  <c r="A612" i="14"/>
  <c r="A613" i="14"/>
  <c r="A614" i="14"/>
  <c r="A615" i="14"/>
  <c r="A616" i="14"/>
  <c r="A617" i="14"/>
  <c r="A618" i="14"/>
  <c r="A619" i="14"/>
  <c r="A620" i="14"/>
  <c r="A621" i="14"/>
  <c r="A622" i="14"/>
  <c r="A623" i="14"/>
  <c r="A624" i="14"/>
  <c r="A625" i="14"/>
  <c r="A626" i="14"/>
  <c r="A627" i="14"/>
  <c r="A628" i="14"/>
  <c r="A629" i="14"/>
  <c r="A630" i="14"/>
  <c r="A631" i="14"/>
  <c r="A632" i="14"/>
  <c r="A633" i="14"/>
  <c r="A634" i="14"/>
  <c r="A635" i="14"/>
  <c r="A636" i="14"/>
  <c r="A637" i="14"/>
  <c r="A638" i="14"/>
  <c r="A639" i="14"/>
  <c r="A640" i="14"/>
  <c r="A641" i="14"/>
  <c r="A642" i="14"/>
  <c r="A643" i="14"/>
  <c r="A644" i="14"/>
  <c r="A645" i="14"/>
  <c r="A646" i="14"/>
  <c r="A647" i="14"/>
  <c r="A648" i="14"/>
  <c r="A649" i="14"/>
  <c r="A650" i="14"/>
  <c r="A651" i="14"/>
  <c r="A652" i="14"/>
  <c r="A653" i="14"/>
  <c r="A654" i="14"/>
  <c r="A655" i="14"/>
  <c r="A656" i="14"/>
  <c r="A657" i="14"/>
  <c r="A658" i="14"/>
  <c r="A659" i="14"/>
  <c r="A660" i="14"/>
  <c r="A661" i="14"/>
  <c r="A662" i="14"/>
  <c r="A663" i="14"/>
  <c r="A664" i="14"/>
  <c r="A665" i="14"/>
  <c r="A666" i="14"/>
  <c r="A667" i="14"/>
  <c r="A668" i="14"/>
  <c r="A669" i="14"/>
  <c r="A670" i="14"/>
  <c r="A671" i="14"/>
  <c r="A672" i="14"/>
  <c r="A673" i="14"/>
  <c r="A674" i="14"/>
  <c r="A675" i="14"/>
  <c r="A676" i="14"/>
  <c r="A677" i="14"/>
  <c r="A678" i="14"/>
  <c r="A679" i="14"/>
  <c r="A680" i="14"/>
  <c r="A681" i="14"/>
  <c r="A682" i="14"/>
  <c r="A683" i="14"/>
  <c r="A684" i="14"/>
  <c r="A685" i="14"/>
  <c r="A686" i="14"/>
  <c r="A687" i="14"/>
  <c r="A688" i="14"/>
  <c r="A689" i="14"/>
  <c r="A690" i="14"/>
  <c r="A691" i="14"/>
  <c r="A692" i="14"/>
  <c r="A693" i="14"/>
  <c r="A694" i="14"/>
  <c r="A695" i="14"/>
  <c r="A696" i="14"/>
  <c r="A697" i="14"/>
  <c r="A698" i="14"/>
  <c r="A699" i="14"/>
  <c r="A700" i="14"/>
  <c r="A701" i="14"/>
  <c r="A702" i="14"/>
  <c r="A703" i="14"/>
  <c r="A704" i="14"/>
  <c r="A705" i="14"/>
  <c r="A706" i="14"/>
  <c r="A707" i="14"/>
  <c r="A708" i="14"/>
  <c r="A709" i="14"/>
  <c r="A710" i="14"/>
  <c r="A711" i="14"/>
  <c r="A712" i="14"/>
  <c r="A713" i="14"/>
  <c r="A714" i="14"/>
  <c r="A715" i="14"/>
  <c r="A716" i="14"/>
  <c r="A717" i="14"/>
  <c r="A718" i="14"/>
  <c r="A719" i="14"/>
  <c r="A720" i="14"/>
  <c r="A721" i="14"/>
  <c r="A722" i="14"/>
  <c r="A723" i="14"/>
  <c r="A724" i="14"/>
  <c r="A725" i="14"/>
  <c r="A726" i="14"/>
  <c r="A727" i="14"/>
  <c r="A728" i="14"/>
  <c r="A729" i="14"/>
  <c r="A730" i="14"/>
  <c r="A731" i="14"/>
  <c r="A732" i="14"/>
  <c r="A733" i="14"/>
  <c r="A734" i="14"/>
  <c r="A735" i="14"/>
  <c r="A736" i="14"/>
  <c r="A737" i="14"/>
  <c r="A738" i="14"/>
  <c r="A739" i="14"/>
  <c r="A740" i="14"/>
  <c r="A741" i="14"/>
  <c r="A742" i="14"/>
  <c r="A743" i="14"/>
  <c r="A744" i="14"/>
  <c r="A745" i="14"/>
  <c r="A746" i="14"/>
  <c r="A747" i="14"/>
  <c r="A748" i="14"/>
  <c r="A749" i="14"/>
  <c r="A750" i="14"/>
  <c r="A751" i="14"/>
  <c r="A752" i="14"/>
  <c r="A753" i="14"/>
  <c r="A754" i="14"/>
  <c r="A755" i="14"/>
  <c r="A756" i="14"/>
  <c r="A757" i="14"/>
  <c r="A758" i="14"/>
  <c r="A759" i="14"/>
  <c r="A760" i="14"/>
  <c r="A761" i="14"/>
  <c r="A762" i="14"/>
  <c r="A763" i="14"/>
  <c r="A764" i="14"/>
  <c r="A765" i="14"/>
  <c r="A766" i="14"/>
  <c r="A767" i="14"/>
  <c r="A768" i="14"/>
  <c r="A769" i="14"/>
  <c r="A770" i="14"/>
  <c r="A771" i="14"/>
  <c r="A772" i="14"/>
  <c r="A773" i="14"/>
  <c r="A774" i="14"/>
  <c r="A775" i="14"/>
  <c r="A776" i="14"/>
  <c r="A777" i="14"/>
  <c r="A778" i="14"/>
  <c r="A779" i="14"/>
  <c r="A780" i="14"/>
  <c r="A781" i="14"/>
  <c r="A782" i="14"/>
  <c r="A783" i="14"/>
  <c r="A784" i="14"/>
  <c r="A785" i="14"/>
  <c r="A786" i="14"/>
  <c r="A787" i="14"/>
  <c r="A788" i="14"/>
  <c r="A789" i="14"/>
  <c r="A790" i="14"/>
  <c r="A791" i="14"/>
  <c r="A792" i="14"/>
  <c r="A793" i="14"/>
  <c r="A794" i="14"/>
  <c r="A795" i="14"/>
  <c r="A796" i="14"/>
  <c r="A797" i="14"/>
  <c r="A798" i="14"/>
  <c r="A799" i="14"/>
  <c r="A800" i="14"/>
  <c r="A801" i="14"/>
  <c r="A802" i="14"/>
  <c r="A803" i="14"/>
  <c r="A804" i="14"/>
  <c r="A805" i="14"/>
  <c r="A806" i="14"/>
  <c r="A807" i="14"/>
  <c r="A808" i="14"/>
  <c r="A809" i="14"/>
  <c r="A810" i="14"/>
  <c r="A811" i="14"/>
  <c r="A812" i="14"/>
  <c r="A813" i="14"/>
  <c r="A814" i="14"/>
  <c r="A815" i="14"/>
  <c r="A816" i="14"/>
  <c r="A817" i="14"/>
  <c r="A818" i="14"/>
  <c r="A819" i="14"/>
  <c r="A820" i="14"/>
  <c r="A821" i="14"/>
  <c r="A822" i="14"/>
  <c r="A823" i="14"/>
  <c r="A824" i="14"/>
  <c r="A825" i="14"/>
  <c r="A826" i="14"/>
  <c r="A827" i="14"/>
  <c r="A828" i="14"/>
  <c r="A829" i="14"/>
  <c r="A830" i="14"/>
  <c r="A831" i="14"/>
  <c r="A832" i="14"/>
  <c r="A833" i="14"/>
  <c r="A834" i="14"/>
  <c r="A835" i="14"/>
  <c r="A836" i="14"/>
  <c r="A837" i="14"/>
  <c r="A838" i="14"/>
  <c r="A839" i="14"/>
  <c r="A840" i="14"/>
  <c r="A841" i="14"/>
  <c r="A842" i="14"/>
  <c r="A843" i="14"/>
  <c r="A844" i="14"/>
  <c r="A845" i="14"/>
  <c r="A846" i="14"/>
  <c r="A847" i="14"/>
  <c r="A848" i="14"/>
  <c r="A849" i="14"/>
  <c r="A850" i="14"/>
  <c r="A851" i="14"/>
  <c r="A852" i="14"/>
  <c r="A853" i="14"/>
  <c r="A854" i="14"/>
  <c r="A855" i="14"/>
  <c r="A856" i="14"/>
  <c r="A857" i="14"/>
  <c r="A858" i="14"/>
  <c r="A859" i="14"/>
  <c r="A860" i="14"/>
  <c r="A861" i="14"/>
  <c r="A862" i="14"/>
  <c r="A863" i="14"/>
  <c r="A864" i="14"/>
  <c r="A865" i="14"/>
  <c r="A866" i="14"/>
  <c r="A867" i="14"/>
  <c r="A868" i="14"/>
  <c r="A869" i="14"/>
  <c r="A870" i="14"/>
  <c r="A871" i="14"/>
  <c r="A872" i="14"/>
  <c r="A873" i="14"/>
  <c r="A874" i="14"/>
  <c r="A875" i="14"/>
  <c r="A876" i="14"/>
  <c r="A877" i="14"/>
  <c r="A878" i="14"/>
  <c r="A879" i="14"/>
  <c r="A880" i="14"/>
  <c r="A881" i="14"/>
  <c r="A882" i="14"/>
  <c r="A883" i="14"/>
  <c r="A884" i="14"/>
  <c r="A885" i="14"/>
  <c r="A886" i="14"/>
  <c r="A887" i="14"/>
  <c r="A888" i="14"/>
  <c r="A889" i="14"/>
  <c r="A890" i="14"/>
  <c r="A891" i="14"/>
  <c r="A892" i="14"/>
  <c r="A893" i="14"/>
  <c r="A894" i="14"/>
  <c r="A895" i="14"/>
  <c r="A896" i="14"/>
  <c r="A897" i="14"/>
  <c r="A898" i="14"/>
  <c r="A899" i="14"/>
  <c r="A900" i="14"/>
  <c r="A901" i="14"/>
  <c r="A902" i="14"/>
  <c r="A903" i="14"/>
  <c r="A904" i="14"/>
  <c r="A905" i="14"/>
  <c r="A906" i="14"/>
  <c r="A907" i="14"/>
  <c r="A908" i="14"/>
  <c r="A909" i="14"/>
  <c r="A910" i="14"/>
  <c r="A911" i="14"/>
  <c r="A912" i="14"/>
  <c r="A913" i="14"/>
  <c r="A914" i="14"/>
  <c r="A915" i="14"/>
  <c r="A916" i="14"/>
  <c r="A917" i="14"/>
  <c r="A918" i="14"/>
  <c r="A919" i="14"/>
  <c r="A920" i="14"/>
  <c r="A921" i="14"/>
  <c r="A922" i="14"/>
  <c r="A923" i="14"/>
  <c r="A924" i="14"/>
  <c r="A925" i="14"/>
  <c r="A926" i="14"/>
  <c r="A927" i="14"/>
  <c r="A928" i="14"/>
  <c r="A929" i="14"/>
  <c r="A930" i="14"/>
  <c r="A931" i="14"/>
  <c r="A932" i="14"/>
  <c r="A933" i="14"/>
  <c r="A934" i="14"/>
  <c r="A935" i="14"/>
  <c r="A936" i="14"/>
  <c r="A937" i="14"/>
  <c r="A938" i="14"/>
  <c r="A939" i="14"/>
  <c r="A940" i="14"/>
  <c r="A941" i="14"/>
  <c r="A942" i="14"/>
  <c r="A943" i="14"/>
  <c r="A944" i="14"/>
  <c r="A945" i="14"/>
  <c r="A946" i="14"/>
  <c r="A947" i="14"/>
  <c r="A948" i="14"/>
  <c r="A949" i="14"/>
  <c r="A950" i="14"/>
  <c r="A951" i="14"/>
  <c r="A952" i="14"/>
  <c r="A953" i="14"/>
  <c r="A954" i="14"/>
  <c r="A955" i="14"/>
  <c r="A956" i="14"/>
  <c r="A957" i="14"/>
  <c r="A958" i="14"/>
  <c r="A959" i="14"/>
  <c r="A960" i="14"/>
  <c r="A961" i="14"/>
  <c r="A962" i="14"/>
  <c r="A963" i="14"/>
  <c r="A964" i="14"/>
  <c r="A965" i="14"/>
  <c r="A966" i="14"/>
  <c r="A967" i="14"/>
  <c r="A968" i="14"/>
  <c r="A969" i="14"/>
  <c r="A970" i="14"/>
  <c r="A971" i="14"/>
  <c r="A972" i="14"/>
  <c r="A973" i="14"/>
  <c r="A974" i="14"/>
  <c r="A975" i="14"/>
  <c r="A976" i="14"/>
  <c r="A977" i="14"/>
  <c r="A978" i="14"/>
  <c r="A979" i="14"/>
  <c r="A980" i="14"/>
  <c r="A981" i="14"/>
  <c r="A982" i="14"/>
  <c r="A983" i="14"/>
  <c r="A984" i="14"/>
  <c r="A985" i="14"/>
  <c r="A986" i="14"/>
  <c r="A987" i="14"/>
  <c r="A988" i="14"/>
  <c r="A989" i="14"/>
  <c r="A990" i="14"/>
  <c r="A991" i="14"/>
  <c r="A992" i="14"/>
  <c r="A993" i="14"/>
  <c r="A994" i="14"/>
  <c r="A995" i="14"/>
  <c r="A996" i="14"/>
  <c r="A997" i="14"/>
  <c r="A998" i="14"/>
  <c r="A999" i="14"/>
  <c r="A1000" i="14"/>
  <c r="A1001" i="14"/>
  <c r="A1002" i="14"/>
  <c r="A1003" i="14"/>
  <c r="A1004" i="14"/>
  <c r="A1005" i="14"/>
  <c r="A1006" i="14"/>
  <c r="A1007" i="14"/>
  <c r="A1008" i="14"/>
  <c r="A1009" i="14"/>
  <c r="A1010" i="14"/>
  <c r="A1011" i="14"/>
  <c r="A1012" i="14"/>
  <c r="A1013" i="14"/>
  <c r="A1014" i="14"/>
  <c r="A1015" i="14"/>
  <c r="A1016" i="14"/>
  <c r="A1017" i="14"/>
  <c r="A1018" i="14"/>
  <c r="A1019" i="14"/>
  <c r="A1020" i="14"/>
  <c r="A1021" i="14"/>
  <c r="A1022" i="14"/>
  <c r="A1023" i="14"/>
  <c r="A1024" i="14"/>
  <c r="A1025" i="14"/>
  <c r="A1026" i="14"/>
  <c r="A1027" i="14"/>
  <c r="A1028" i="14"/>
  <c r="A1029" i="14"/>
  <c r="A1030" i="14"/>
  <c r="A1031" i="14"/>
  <c r="A1032" i="14"/>
  <c r="A1033" i="14"/>
  <c r="A1034" i="14"/>
  <c r="A1035" i="14"/>
  <c r="A1036" i="14"/>
  <c r="A1037" i="14"/>
  <c r="A1038" i="14"/>
  <c r="A1039" i="14"/>
  <c r="A1040" i="14"/>
  <c r="A1041" i="14"/>
  <c r="A1042" i="14"/>
  <c r="A1043" i="14"/>
  <c r="A1044" i="14"/>
  <c r="A1045" i="14"/>
  <c r="A1046" i="14"/>
  <c r="A1047" i="14"/>
  <c r="A1048" i="14"/>
  <c r="A1049" i="14"/>
  <c r="A1050" i="14"/>
  <c r="A1051" i="14"/>
  <c r="A1052" i="14"/>
  <c r="A1053" i="14"/>
  <c r="A1054" i="14"/>
  <c r="A1055" i="14"/>
  <c r="A1056" i="14"/>
  <c r="A1057" i="14"/>
  <c r="A1058" i="14"/>
  <c r="A1059" i="14"/>
  <c r="A1060" i="14"/>
  <c r="A1061" i="14"/>
  <c r="A1062" i="14"/>
  <c r="A1063" i="14"/>
  <c r="A1064" i="14"/>
  <c r="A1065" i="14"/>
  <c r="A1066" i="14"/>
  <c r="A1067" i="14"/>
  <c r="A1068" i="14"/>
  <c r="A1069" i="14"/>
  <c r="A1070" i="14"/>
  <c r="A1071" i="14"/>
  <c r="A1072" i="14"/>
  <c r="A1073" i="14"/>
  <c r="A1074" i="14"/>
  <c r="A1075" i="14"/>
  <c r="A1076" i="14"/>
  <c r="A1077" i="14"/>
  <c r="A1078" i="14"/>
  <c r="A1079" i="14"/>
  <c r="A1080" i="14"/>
  <c r="A1081" i="14"/>
  <c r="A1082" i="14"/>
  <c r="A1083" i="14"/>
  <c r="A1084" i="14"/>
  <c r="A1085" i="14"/>
  <c r="A1086" i="14"/>
  <c r="A1087" i="14"/>
  <c r="A1088" i="14"/>
  <c r="A1089" i="14"/>
  <c r="A90" i="14"/>
  <c r="B86" i="14"/>
  <c r="G1091" i="14"/>
  <c r="G1090" i="14"/>
  <c r="G1089" i="14"/>
  <c r="G1088" i="14"/>
  <c r="G1087" i="14"/>
  <c r="G1086" i="14"/>
  <c r="G1085" i="14"/>
  <c r="G1084" i="14"/>
  <c r="G1083" i="14"/>
  <c r="G1082" i="14"/>
  <c r="G1081" i="14"/>
  <c r="G1080" i="14"/>
  <c r="G1079" i="14"/>
  <c r="G1078" i="14"/>
  <c r="G1077" i="14"/>
  <c r="G1076" i="14"/>
  <c r="G1075" i="14"/>
  <c r="G1074" i="14"/>
  <c r="G1073" i="14"/>
  <c r="G1072" i="14"/>
  <c r="G1071" i="14"/>
  <c r="G1070" i="14"/>
  <c r="G1069" i="14"/>
  <c r="G1068" i="14"/>
  <c r="G1067" i="14"/>
  <c r="G1066" i="14"/>
  <c r="G1065" i="14"/>
  <c r="G1064" i="14"/>
  <c r="G1063" i="14"/>
  <c r="G1062" i="14"/>
  <c r="G1061" i="14"/>
  <c r="G1060" i="14"/>
  <c r="G1059" i="14"/>
  <c r="G1058" i="14"/>
  <c r="G1057" i="14"/>
  <c r="G1056" i="14"/>
  <c r="G1055" i="14"/>
  <c r="G1054" i="14"/>
  <c r="G1053" i="14"/>
  <c r="G1052" i="14"/>
  <c r="G1051" i="14"/>
  <c r="G1050" i="14"/>
  <c r="G1049" i="14"/>
  <c r="G1048" i="14"/>
  <c r="G1047" i="14"/>
  <c r="G1046" i="14"/>
  <c r="G1045" i="14"/>
  <c r="G1044" i="14"/>
  <c r="G1043" i="14"/>
  <c r="G1042" i="14"/>
  <c r="G1041" i="14"/>
  <c r="G1040" i="14"/>
  <c r="G1039" i="14"/>
  <c r="G1038" i="14"/>
  <c r="G1037" i="14"/>
  <c r="G1036" i="14"/>
  <c r="G1035" i="14"/>
  <c r="G1034" i="14"/>
  <c r="G1033" i="14"/>
  <c r="G1032" i="14"/>
  <c r="G1031" i="14"/>
  <c r="G1030" i="14"/>
  <c r="G1029" i="14"/>
  <c r="G1028" i="14"/>
  <c r="G1027" i="14"/>
  <c r="G1026" i="14"/>
  <c r="G1025" i="14"/>
  <c r="G1024" i="14"/>
  <c r="G1023" i="14"/>
  <c r="G1022" i="14"/>
  <c r="G1021" i="14"/>
  <c r="G1020" i="14"/>
  <c r="G1019" i="14"/>
  <c r="G1018" i="14"/>
  <c r="G1017" i="14"/>
  <c r="G1016" i="14"/>
  <c r="G1015" i="14"/>
  <c r="G1014" i="14"/>
  <c r="G1013" i="14"/>
  <c r="G1012" i="14"/>
  <c r="G1011" i="14"/>
  <c r="G1010" i="14"/>
  <c r="G1009" i="14"/>
  <c r="G1008" i="14"/>
  <c r="G1007" i="14"/>
  <c r="G1006" i="14"/>
  <c r="G1005" i="14"/>
  <c r="G1004" i="14"/>
  <c r="G1003" i="14"/>
  <c r="G1002" i="14"/>
  <c r="G1001" i="14"/>
  <c r="G1000" i="14"/>
  <c r="G999" i="14"/>
  <c r="G998" i="14"/>
  <c r="G997" i="14"/>
  <c r="G996" i="14"/>
  <c r="G995" i="14"/>
  <c r="G994" i="14"/>
  <c r="G993" i="14"/>
  <c r="G992" i="14"/>
  <c r="G991" i="14"/>
  <c r="G990" i="14"/>
  <c r="G989" i="14"/>
  <c r="G988" i="14"/>
  <c r="G987" i="14"/>
  <c r="G986" i="14"/>
  <c r="G985" i="14"/>
  <c r="G984" i="14"/>
  <c r="G983" i="14"/>
  <c r="G982" i="14"/>
  <c r="G981" i="14"/>
  <c r="G980" i="14"/>
  <c r="G979" i="14"/>
  <c r="G978" i="14"/>
  <c r="G977" i="14"/>
  <c r="G976" i="14"/>
  <c r="G975" i="14"/>
  <c r="G974" i="14"/>
  <c r="G973" i="14"/>
  <c r="G972" i="14"/>
  <c r="G971" i="14"/>
  <c r="G970" i="14"/>
  <c r="G969" i="14"/>
  <c r="G968" i="14"/>
  <c r="G967" i="14"/>
  <c r="G966" i="14"/>
  <c r="G965" i="14"/>
  <c r="G964" i="14"/>
  <c r="G963" i="14"/>
  <c r="G962" i="14"/>
  <c r="G961" i="14"/>
  <c r="G960" i="14"/>
  <c r="G959" i="14"/>
  <c r="G958" i="14"/>
  <c r="G957" i="14"/>
  <c r="G956" i="14"/>
  <c r="G955" i="14"/>
  <c r="G954" i="14"/>
  <c r="G953" i="14"/>
  <c r="G952" i="14"/>
  <c r="G951" i="14"/>
  <c r="G950" i="14"/>
  <c r="G949" i="14"/>
  <c r="G948" i="14"/>
  <c r="G947" i="14"/>
  <c r="G946" i="14"/>
  <c r="G945" i="14"/>
  <c r="G944" i="14"/>
  <c r="G943" i="14"/>
  <c r="G942" i="14"/>
  <c r="G941" i="14"/>
  <c r="G940" i="14"/>
  <c r="G939" i="14"/>
  <c r="G938" i="14"/>
  <c r="G937" i="14"/>
  <c r="G936" i="14"/>
  <c r="G935" i="14"/>
  <c r="G934" i="14"/>
  <c r="G933" i="14"/>
  <c r="G932" i="14"/>
  <c r="G931" i="14"/>
  <c r="G930" i="14"/>
  <c r="G929" i="14"/>
  <c r="G928" i="14"/>
  <c r="G927" i="14"/>
  <c r="G926" i="14"/>
  <c r="G925" i="14"/>
  <c r="G924" i="14"/>
  <c r="G923" i="14"/>
  <c r="G922" i="14"/>
  <c r="G921" i="14"/>
  <c r="G920" i="14"/>
  <c r="G919" i="14"/>
  <c r="G918" i="14"/>
  <c r="G917" i="14"/>
  <c r="G916" i="14"/>
  <c r="G915" i="14"/>
  <c r="G914" i="14"/>
  <c r="G913" i="14"/>
  <c r="G912" i="14"/>
  <c r="G911" i="14"/>
  <c r="G910" i="14"/>
  <c r="G909" i="14"/>
  <c r="G908" i="14"/>
  <c r="G907" i="14"/>
  <c r="G906" i="14"/>
  <c r="G905" i="14"/>
  <c r="G904" i="14"/>
  <c r="G903" i="14"/>
  <c r="G902" i="14"/>
  <c r="G901" i="14"/>
  <c r="G900" i="14"/>
  <c r="G899" i="14"/>
  <c r="G898" i="14"/>
  <c r="G897" i="14"/>
  <c r="G896" i="14"/>
  <c r="G895" i="14"/>
  <c r="G894" i="14"/>
  <c r="G893" i="14"/>
  <c r="G892" i="14"/>
  <c r="G891" i="14"/>
  <c r="G890" i="14"/>
  <c r="G889" i="14"/>
  <c r="G888" i="14"/>
  <c r="G887" i="14"/>
  <c r="G886" i="14"/>
  <c r="G885" i="14"/>
  <c r="G884" i="14"/>
  <c r="G883" i="14"/>
  <c r="G882" i="14"/>
  <c r="G881" i="14"/>
  <c r="G880" i="14"/>
  <c r="G879" i="14"/>
  <c r="G878" i="14"/>
  <c r="G877" i="14"/>
  <c r="G876" i="14"/>
  <c r="G875" i="14"/>
  <c r="G874" i="14"/>
  <c r="G873" i="14"/>
  <c r="G872" i="14"/>
  <c r="G871" i="14"/>
  <c r="G870" i="14"/>
  <c r="G869" i="14"/>
  <c r="G868" i="14"/>
  <c r="G867" i="14"/>
  <c r="G866" i="14"/>
  <c r="G865" i="14"/>
  <c r="G864" i="14"/>
  <c r="G863" i="14"/>
  <c r="G862" i="14"/>
  <c r="G861" i="14"/>
  <c r="G860" i="14"/>
  <c r="G859" i="14"/>
  <c r="G858" i="14"/>
  <c r="G857" i="14"/>
  <c r="G856" i="14"/>
  <c r="G855" i="14"/>
  <c r="G854" i="14"/>
  <c r="G853" i="14"/>
  <c r="G852" i="14"/>
  <c r="G851" i="14"/>
  <c r="G850" i="14"/>
  <c r="G849" i="14"/>
  <c r="G848" i="14"/>
  <c r="G847" i="14"/>
  <c r="G846" i="14"/>
  <c r="G845" i="14"/>
  <c r="G844" i="14"/>
  <c r="G843" i="14"/>
  <c r="G842" i="14"/>
  <c r="G841" i="14"/>
  <c r="G840" i="14"/>
  <c r="G839" i="14"/>
  <c r="G838" i="14"/>
  <c r="G837" i="14"/>
  <c r="G836" i="14"/>
  <c r="G835" i="14"/>
  <c r="G834" i="14"/>
  <c r="G833" i="14"/>
  <c r="G832" i="14"/>
  <c r="G831" i="14"/>
  <c r="G830" i="14"/>
  <c r="G829" i="14"/>
  <c r="G828" i="14"/>
  <c r="G827" i="14"/>
  <c r="G826" i="14"/>
  <c r="G825" i="14"/>
  <c r="G824" i="14"/>
  <c r="G823" i="14"/>
  <c r="G822" i="14"/>
  <c r="G821" i="14"/>
  <c r="G820" i="14"/>
  <c r="G819" i="14"/>
  <c r="G818" i="14"/>
  <c r="G817" i="14"/>
  <c r="G816" i="14"/>
  <c r="G815" i="14"/>
  <c r="G814" i="14"/>
  <c r="G813" i="14"/>
  <c r="G812" i="14"/>
  <c r="G811" i="14"/>
  <c r="G810" i="14"/>
  <c r="G809" i="14"/>
  <c r="G808" i="14"/>
  <c r="G807" i="14"/>
  <c r="G806" i="14"/>
  <c r="G805" i="14"/>
  <c r="G804" i="14"/>
  <c r="G803" i="14"/>
  <c r="G802" i="14"/>
  <c r="G801" i="14"/>
  <c r="G800" i="14"/>
  <c r="G799" i="14"/>
  <c r="G798" i="14"/>
  <c r="G797" i="14"/>
  <c r="G796" i="14"/>
  <c r="G795" i="14"/>
  <c r="G794" i="14"/>
  <c r="G793" i="14"/>
  <c r="G792" i="14"/>
  <c r="G791" i="14"/>
  <c r="G790" i="14"/>
  <c r="G789" i="14"/>
  <c r="G788" i="14"/>
  <c r="G787" i="14"/>
  <c r="G786" i="14"/>
  <c r="G785" i="14"/>
  <c r="G784" i="14"/>
  <c r="G783" i="14"/>
  <c r="G782" i="14"/>
  <c r="G781" i="14"/>
  <c r="G780" i="14"/>
  <c r="G779" i="14"/>
  <c r="G778" i="14"/>
  <c r="G777" i="14"/>
  <c r="G776" i="14"/>
  <c r="G775" i="14"/>
  <c r="G774" i="14"/>
  <c r="G773" i="14"/>
  <c r="G772" i="14"/>
  <c r="G771" i="14"/>
  <c r="G770" i="14"/>
  <c r="G769" i="14"/>
  <c r="G768" i="14"/>
  <c r="G767" i="14"/>
  <c r="G766" i="14"/>
  <c r="G765" i="14"/>
  <c r="G764" i="14"/>
  <c r="G763" i="14"/>
  <c r="G762" i="14"/>
  <c r="G761" i="14"/>
  <c r="G760" i="14"/>
  <c r="G759" i="14"/>
  <c r="G758" i="14"/>
  <c r="G757" i="14"/>
  <c r="G756" i="14"/>
  <c r="G755" i="14"/>
  <c r="G754" i="14"/>
  <c r="G753" i="14"/>
  <c r="G752" i="14"/>
  <c r="G751" i="14"/>
  <c r="G750" i="14"/>
  <c r="G749" i="14"/>
  <c r="G748" i="14"/>
  <c r="G747" i="14"/>
  <c r="G746" i="14"/>
  <c r="G745" i="14"/>
  <c r="G744" i="14"/>
  <c r="G743" i="14"/>
  <c r="G742" i="14"/>
  <c r="G741" i="14"/>
  <c r="G740" i="14"/>
  <c r="G739" i="14"/>
  <c r="G738" i="14"/>
  <c r="G737" i="14"/>
  <c r="G736" i="14"/>
  <c r="G735" i="14"/>
  <c r="G734" i="14"/>
  <c r="G733" i="14"/>
  <c r="G732" i="14"/>
  <c r="G731" i="14"/>
  <c r="G730" i="14"/>
  <c r="G729" i="14"/>
  <c r="G728" i="14"/>
  <c r="G727" i="14"/>
  <c r="G726" i="14"/>
  <c r="G725" i="14"/>
  <c r="G724" i="14"/>
  <c r="G723" i="14"/>
  <c r="G722" i="14"/>
  <c r="G721" i="14"/>
  <c r="G720" i="14"/>
  <c r="G719" i="14"/>
  <c r="G718" i="14"/>
  <c r="G717" i="14"/>
  <c r="G716" i="14"/>
  <c r="G715" i="14"/>
  <c r="G714" i="14"/>
  <c r="G713" i="14"/>
  <c r="G712" i="14"/>
  <c r="G711" i="14"/>
  <c r="G710" i="14"/>
  <c r="G709" i="14"/>
  <c r="G708" i="14"/>
  <c r="G707" i="14"/>
  <c r="G706" i="14"/>
  <c r="G705" i="14"/>
  <c r="G704" i="14"/>
  <c r="G703" i="14"/>
  <c r="G702" i="14"/>
  <c r="G701" i="14"/>
  <c r="G700" i="14"/>
  <c r="G699" i="14"/>
  <c r="G698" i="14"/>
  <c r="G697" i="14"/>
  <c r="G696" i="14"/>
  <c r="G695" i="14"/>
  <c r="G694" i="14"/>
  <c r="G693" i="14"/>
  <c r="G692" i="14"/>
  <c r="G691" i="14"/>
  <c r="G690" i="14"/>
  <c r="G689" i="14"/>
  <c r="G688" i="14"/>
  <c r="G687" i="14"/>
  <c r="G686" i="14"/>
  <c r="G685" i="14"/>
  <c r="G684" i="14"/>
  <c r="G683" i="14"/>
  <c r="G682" i="14"/>
  <c r="G681" i="14"/>
  <c r="G680" i="14"/>
  <c r="G679" i="14"/>
  <c r="G678" i="14"/>
  <c r="G677" i="14"/>
  <c r="G676" i="14"/>
  <c r="G675" i="14"/>
  <c r="G674" i="14"/>
  <c r="G673" i="14"/>
  <c r="G672" i="14"/>
  <c r="G671" i="14"/>
  <c r="G670" i="14"/>
  <c r="G669" i="14"/>
  <c r="G668" i="14"/>
  <c r="G667" i="14"/>
  <c r="G666" i="14"/>
  <c r="G665" i="14"/>
  <c r="G664" i="14"/>
  <c r="G663" i="14"/>
  <c r="G662" i="14"/>
  <c r="G661" i="14"/>
  <c r="G660" i="14"/>
  <c r="G659" i="14"/>
  <c r="G658" i="14"/>
  <c r="G657" i="14"/>
  <c r="G656" i="14"/>
  <c r="G655" i="14"/>
  <c r="G654" i="14"/>
  <c r="G653" i="14"/>
  <c r="G652" i="14"/>
  <c r="G651" i="14"/>
  <c r="G650" i="14"/>
  <c r="G649" i="14"/>
  <c r="G648" i="14"/>
  <c r="G647" i="14"/>
  <c r="G646" i="14"/>
  <c r="G645" i="14"/>
  <c r="G644" i="14"/>
  <c r="G643" i="14"/>
  <c r="G642" i="14"/>
  <c r="G641" i="14"/>
  <c r="G640" i="14"/>
  <c r="G639" i="14"/>
  <c r="G638" i="14"/>
  <c r="G637" i="14"/>
  <c r="G636" i="14"/>
  <c r="G635" i="14"/>
  <c r="G634" i="14"/>
  <c r="G633" i="14"/>
  <c r="G632" i="14"/>
  <c r="G631" i="14"/>
  <c r="G630" i="14"/>
  <c r="G629" i="14"/>
  <c r="G628" i="14"/>
  <c r="G627" i="14"/>
  <c r="G626" i="14"/>
  <c r="G625" i="14"/>
  <c r="G624" i="14"/>
  <c r="G623" i="14"/>
  <c r="G622" i="14"/>
  <c r="G621" i="14"/>
  <c r="G620" i="14"/>
  <c r="G619" i="14"/>
  <c r="G618" i="14"/>
  <c r="G617" i="14"/>
  <c r="G616" i="14"/>
  <c r="G615" i="14"/>
  <c r="G614" i="14"/>
  <c r="G613" i="14"/>
  <c r="G612" i="14"/>
  <c r="G611" i="14"/>
  <c r="G610" i="14"/>
  <c r="G609" i="14"/>
  <c r="G608" i="14"/>
  <c r="G607" i="14"/>
  <c r="G606" i="14"/>
  <c r="G605" i="14"/>
  <c r="G604" i="14"/>
  <c r="G603" i="14"/>
  <c r="G602" i="14"/>
  <c r="G601" i="14"/>
  <c r="G600" i="14"/>
  <c r="G599" i="14"/>
  <c r="G598" i="14"/>
  <c r="G597" i="14"/>
  <c r="G596" i="14"/>
  <c r="G595" i="14"/>
  <c r="G594" i="14"/>
  <c r="G593" i="14"/>
  <c r="G592" i="14"/>
  <c r="G591" i="14"/>
  <c r="G590" i="14"/>
  <c r="G589" i="14"/>
  <c r="G588" i="14"/>
  <c r="G587" i="14"/>
  <c r="G586" i="14"/>
  <c r="G585" i="14"/>
  <c r="G584" i="14"/>
  <c r="G583" i="14"/>
  <c r="G582" i="14"/>
  <c r="G581" i="14"/>
  <c r="G580" i="14"/>
  <c r="G579" i="14"/>
  <c r="G578" i="14"/>
  <c r="G577" i="14"/>
  <c r="G576" i="14"/>
  <c r="G575" i="14"/>
  <c r="G574" i="14"/>
  <c r="G573" i="14"/>
  <c r="G572" i="14"/>
  <c r="G571" i="14"/>
  <c r="G570" i="14"/>
  <c r="G569" i="14"/>
  <c r="G568" i="14"/>
  <c r="G567" i="14"/>
  <c r="G566" i="14"/>
  <c r="G565" i="14"/>
  <c r="G564" i="14"/>
  <c r="G563" i="14"/>
  <c r="G562" i="14"/>
  <c r="G561" i="14"/>
  <c r="G560" i="14"/>
  <c r="G559" i="14"/>
  <c r="G558" i="14"/>
  <c r="G557" i="14"/>
  <c r="G556" i="14"/>
  <c r="G555" i="14"/>
  <c r="G554" i="14"/>
  <c r="G553" i="14"/>
  <c r="G552" i="14"/>
  <c r="G551" i="14"/>
  <c r="G550" i="14"/>
  <c r="G549" i="14"/>
  <c r="G548" i="14"/>
  <c r="G547" i="14"/>
  <c r="G546" i="14"/>
  <c r="G545" i="14"/>
  <c r="G544" i="14"/>
  <c r="G543" i="14"/>
  <c r="G542" i="14"/>
  <c r="G541" i="14"/>
  <c r="G540" i="14"/>
  <c r="G539" i="14"/>
  <c r="G538" i="14"/>
  <c r="G537" i="14"/>
  <c r="G536" i="14"/>
  <c r="G535" i="14"/>
  <c r="G534" i="14"/>
  <c r="G533" i="14"/>
  <c r="G532" i="14"/>
  <c r="G531" i="14"/>
  <c r="G530" i="14"/>
  <c r="G529" i="14"/>
  <c r="G528" i="14"/>
  <c r="G527" i="14"/>
  <c r="G526" i="14"/>
  <c r="G525" i="14"/>
  <c r="G524" i="14"/>
  <c r="G523" i="14"/>
  <c r="G522" i="14"/>
  <c r="G521" i="14"/>
  <c r="G520" i="14"/>
  <c r="G519" i="14"/>
  <c r="G518" i="14"/>
  <c r="G517" i="14"/>
  <c r="G516" i="14"/>
  <c r="G515" i="14"/>
  <c r="G514" i="14"/>
  <c r="G513" i="14"/>
  <c r="G512" i="14"/>
  <c r="G511" i="14"/>
  <c r="G510" i="14"/>
  <c r="G509" i="14"/>
  <c r="G508" i="14"/>
  <c r="G507" i="14"/>
  <c r="G506" i="14"/>
  <c r="G505" i="14"/>
  <c r="G504" i="14"/>
  <c r="G503" i="14"/>
  <c r="G502" i="14"/>
  <c r="G501" i="14"/>
  <c r="G500" i="14"/>
  <c r="G499" i="14"/>
  <c r="G498" i="14"/>
  <c r="G497" i="14"/>
  <c r="G496" i="14"/>
  <c r="G495" i="14"/>
  <c r="G494" i="14"/>
  <c r="G493" i="14"/>
  <c r="G492" i="14"/>
  <c r="G491" i="14"/>
  <c r="G490" i="14"/>
  <c r="G489" i="14"/>
  <c r="G488" i="14"/>
  <c r="G487" i="14"/>
  <c r="G486" i="14"/>
  <c r="G485" i="14"/>
  <c r="G484" i="14"/>
  <c r="G483" i="14"/>
  <c r="G482" i="14"/>
  <c r="G481" i="14"/>
  <c r="G480" i="14"/>
  <c r="G479" i="14"/>
  <c r="G478" i="14"/>
  <c r="G477" i="14"/>
  <c r="G476" i="14"/>
  <c r="G475" i="14"/>
  <c r="G474" i="14"/>
  <c r="G473" i="14"/>
  <c r="G472" i="14"/>
  <c r="G471" i="14"/>
  <c r="G470" i="14"/>
  <c r="G469" i="14"/>
  <c r="G468" i="14"/>
  <c r="G467" i="14"/>
  <c r="G466" i="14"/>
  <c r="G465" i="14"/>
  <c r="G464" i="14"/>
  <c r="G463" i="14"/>
  <c r="G462" i="14"/>
  <c r="G461" i="14"/>
  <c r="G460" i="14"/>
  <c r="G459" i="14"/>
  <c r="G458" i="14"/>
  <c r="G457" i="14"/>
  <c r="G456" i="14"/>
  <c r="G455" i="14"/>
  <c r="G454" i="14"/>
  <c r="G453" i="14"/>
  <c r="G452" i="14"/>
  <c r="G451" i="14"/>
  <c r="G450" i="14"/>
  <c r="G449" i="14"/>
  <c r="G448" i="14"/>
  <c r="G447" i="14"/>
  <c r="G446" i="14"/>
  <c r="G445" i="14"/>
  <c r="G444" i="14"/>
  <c r="G443" i="14"/>
  <c r="G442" i="14"/>
  <c r="G441" i="14"/>
  <c r="G440" i="14"/>
  <c r="G439" i="14"/>
  <c r="G438" i="14"/>
  <c r="G437" i="14"/>
  <c r="G436" i="14"/>
  <c r="G435" i="14"/>
  <c r="G434" i="14"/>
  <c r="G433" i="14"/>
  <c r="G432" i="14"/>
  <c r="G431" i="14"/>
  <c r="G430" i="14"/>
  <c r="G429" i="14"/>
  <c r="G428" i="14"/>
  <c r="G427" i="14"/>
  <c r="G426" i="14"/>
  <c r="G425" i="14"/>
  <c r="G424" i="14"/>
  <c r="G423" i="14"/>
  <c r="G422" i="14"/>
  <c r="G421" i="14"/>
  <c r="G420" i="14"/>
  <c r="G419" i="14"/>
  <c r="G418" i="14"/>
  <c r="G417" i="14"/>
  <c r="G416" i="14"/>
  <c r="G415" i="14"/>
  <c r="G414" i="14"/>
  <c r="G413" i="14"/>
  <c r="G412" i="14"/>
  <c r="G411" i="14"/>
  <c r="G410" i="14"/>
  <c r="G409" i="14"/>
  <c r="G408" i="14"/>
  <c r="G407" i="14"/>
  <c r="G406" i="14"/>
  <c r="G405" i="14"/>
  <c r="G404" i="14"/>
  <c r="G403" i="14"/>
  <c r="G402" i="14"/>
  <c r="G401" i="14"/>
  <c r="G400" i="14"/>
  <c r="G399" i="14"/>
  <c r="G398" i="14"/>
  <c r="G397" i="14"/>
  <c r="G396" i="14"/>
  <c r="G395" i="14"/>
  <c r="G394" i="14"/>
  <c r="G393" i="14"/>
  <c r="G392" i="14"/>
  <c r="G391" i="14"/>
  <c r="G390" i="14"/>
  <c r="G389" i="14"/>
  <c r="G388" i="14"/>
  <c r="G387" i="14"/>
  <c r="G386" i="14"/>
  <c r="G385" i="14"/>
  <c r="G384" i="14"/>
  <c r="G383" i="14"/>
  <c r="G382" i="14"/>
  <c r="G381" i="14"/>
  <c r="G380" i="14"/>
  <c r="G379" i="14"/>
  <c r="G378" i="14"/>
  <c r="G377" i="14"/>
  <c r="G376" i="14"/>
  <c r="G375" i="14"/>
  <c r="G374" i="14"/>
  <c r="G373" i="14"/>
  <c r="G372" i="14"/>
  <c r="G371" i="14"/>
  <c r="G370" i="14"/>
  <c r="G369" i="14"/>
  <c r="G368" i="14"/>
  <c r="G367" i="14"/>
  <c r="G366" i="14"/>
  <c r="G365" i="14"/>
  <c r="G364" i="14"/>
  <c r="G363" i="14"/>
  <c r="G362" i="14"/>
  <c r="G361" i="14"/>
  <c r="G360" i="14"/>
  <c r="G359" i="14"/>
  <c r="G358" i="14"/>
  <c r="G357" i="14"/>
  <c r="G356" i="14"/>
  <c r="G355" i="14"/>
  <c r="G354" i="14"/>
  <c r="G353" i="14"/>
  <c r="G352" i="14"/>
  <c r="G351" i="14"/>
  <c r="G350" i="14"/>
  <c r="G349" i="14"/>
  <c r="G348" i="14"/>
  <c r="G347" i="14"/>
  <c r="G346" i="14"/>
  <c r="G345" i="14"/>
  <c r="G344" i="14"/>
  <c r="G343" i="14"/>
  <c r="G342" i="14"/>
  <c r="G341" i="14"/>
  <c r="G340" i="14"/>
  <c r="G339" i="14"/>
  <c r="G338" i="14"/>
  <c r="G337" i="14"/>
  <c r="G336" i="14"/>
  <c r="G335" i="14"/>
  <c r="G334" i="14"/>
  <c r="G333" i="14"/>
  <c r="G332" i="14"/>
  <c r="G331" i="14"/>
  <c r="G330" i="14"/>
  <c r="G329" i="14"/>
  <c r="G328" i="14"/>
  <c r="G327" i="14"/>
  <c r="G326" i="14"/>
  <c r="G325" i="14"/>
  <c r="G324" i="14"/>
  <c r="G323" i="14"/>
  <c r="G322" i="14"/>
  <c r="G321" i="14"/>
  <c r="G320" i="14"/>
  <c r="G319" i="14"/>
  <c r="G318" i="14"/>
  <c r="G317" i="14"/>
  <c r="G316" i="14"/>
  <c r="G315" i="14"/>
  <c r="G314" i="14"/>
  <c r="G313" i="14"/>
  <c r="G312" i="14"/>
  <c r="G311" i="14"/>
  <c r="G310" i="14"/>
  <c r="G309" i="14"/>
  <c r="G308" i="14"/>
  <c r="G307" i="14"/>
  <c r="G306" i="14"/>
  <c r="G305" i="14"/>
  <c r="G304" i="14"/>
  <c r="G303" i="14"/>
  <c r="G302" i="14"/>
  <c r="G301" i="14"/>
  <c r="G300" i="14"/>
  <c r="G299" i="14"/>
  <c r="G298" i="14"/>
  <c r="G297" i="14"/>
  <c r="G296" i="14"/>
  <c r="G295" i="14"/>
  <c r="G294" i="14"/>
  <c r="G293" i="14"/>
  <c r="G292" i="14"/>
  <c r="G291" i="14"/>
  <c r="G290" i="14"/>
  <c r="G289" i="14"/>
  <c r="G288" i="14"/>
  <c r="G287" i="14"/>
  <c r="G286" i="14"/>
  <c r="G285" i="14"/>
  <c r="G284" i="14"/>
  <c r="G283" i="14"/>
  <c r="G282" i="14"/>
  <c r="G281" i="14"/>
  <c r="G280" i="14"/>
  <c r="G279" i="14"/>
  <c r="G278" i="14"/>
  <c r="G277" i="14"/>
  <c r="G276" i="14"/>
  <c r="G275" i="14"/>
  <c r="G274" i="14"/>
  <c r="G273" i="14"/>
  <c r="G272" i="14"/>
  <c r="G271" i="14"/>
  <c r="G270" i="14"/>
  <c r="G269" i="14"/>
  <c r="G268" i="14"/>
  <c r="G267" i="14"/>
  <c r="G266" i="14"/>
  <c r="G265" i="14"/>
  <c r="G264" i="14"/>
  <c r="G263" i="14"/>
  <c r="G262" i="14"/>
  <c r="G261" i="14"/>
  <c r="G260" i="14"/>
  <c r="G259" i="14"/>
  <c r="G258" i="14"/>
  <c r="G257" i="14"/>
  <c r="G256" i="14"/>
  <c r="G255" i="14"/>
  <c r="G254" i="14"/>
  <c r="G253" i="14"/>
  <c r="G252" i="14"/>
  <c r="G251" i="14"/>
  <c r="G250" i="14"/>
  <c r="G249" i="14"/>
  <c r="G248" i="14"/>
  <c r="G247" i="14"/>
  <c r="G246" i="14"/>
  <c r="G245" i="14"/>
  <c r="G244" i="14"/>
  <c r="G243" i="14"/>
  <c r="G242" i="14"/>
  <c r="G241" i="14"/>
  <c r="G240" i="14"/>
  <c r="G239" i="14"/>
  <c r="G238" i="14"/>
  <c r="G237" i="14"/>
  <c r="G236" i="14"/>
  <c r="G235" i="14"/>
  <c r="G234" i="14"/>
  <c r="G233" i="14"/>
  <c r="G232" i="14"/>
  <c r="G231" i="14"/>
  <c r="G230" i="14"/>
  <c r="G229" i="14"/>
  <c r="G228" i="14"/>
  <c r="G227" i="14"/>
  <c r="G226" i="14"/>
  <c r="G225" i="14"/>
  <c r="G224" i="14"/>
  <c r="G223" i="14"/>
  <c r="G222" i="14"/>
  <c r="G221" i="14"/>
  <c r="G220" i="14"/>
  <c r="G219" i="14"/>
  <c r="G218" i="14"/>
  <c r="G217" i="14"/>
  <c r="G216" i="14"/>
  <c r="G215" i="14"/>
  <c r="G214" i="14"/>
  <c r="G213" i="14"/>
  <c r="G212" i="14"/>
  <c r="G211" i="14"/>
  <c r="G210" i="14"/>
  <c r="G209" i="14"/>
  <c r="G208" i="14"/>
  <c r="G207" i="14"/>
  <c r="G206" i="14"/>
  <c r="G205" i="14"/>
  <c r="G204" i="14"/>
  <c r="G203" i="14"/>
  <c r="G202" i="14"/>
  <c r="G201" i="14"/>
  <c r="G200" i="14"/>
  <c r="G199" i="14"/>
  <c r="G198" i="14"/>
  <c r="G197" i="14"/>
  <c r="G196" i="14"/>
  <c r="G195" i="14"/>
  <c r="G194" i="14"/>
  <c r="G193" i="14"/>
  <c r="G192" i="14"/>
  <c r="G191" i="14"/>
  <c r="G190" i="14"/>
  <c r="G189" i="14"/>
  <c r="G188" i="14"/>
  <c r="G187" i="14"/>
  <c r="G186" i="14"/>
  <c r="G185" i="14"/>
  <c r="G184" i="14"/>
  <c r="G183" i="14"/>
  <c r="G182" i="14"/>
  <c r="G181" i="14"/>
  <c r="G180" i="14"/>
  <c r="G179" i="14"/>
  <c r="G178" i="14"/>
  <c r="G177" i="14"/>
  <c r="G176" i="14"/>
  <c r="G175" i="14"/>
  <c r="G174" i="14"/>
  <c r="G173" i="14"/>
  <c r="G172" i="14"/>
  <c r="G171" i="14"/>
  <c r="G170" i="14"/>
  <c r="G169" i="14"/>
  <c r="G168" i="14"/>
  <c r="G167" i="14"/>
  <c r="G166" i="14"/>
  <c r="G165" i="14"/>
  <c r="G164" i="14"/>
  <c r="G163" i="14"/>
  <c r="G162" i="14"/>
  <c r="G161" i="14"/>
  <c r="G160" i="14"/>
  <c r="G159" i="14"/>
  <c r="G158" i="14"/>
  <c r="G157" i="14"/>
  <c r="G156" i="14"/>
  <c r="G155" i="14"/>
  <c r="G154" i="14"/>
  <c r="G153" i="14"/>
  <c r="G152" i="14"/>
  <c r="G151" i="14"/>
  <c r="G150" i="14"/>
  <c r="G149" i="14"/>
  <c r="G148" i="14"/>
  <c r="G147" i="14"/>
  <c r="G146" i="14"/>
  <c r="G145" i="14"/>
  <c r="G144" i="14"/>
  <c r="G143" i="14"/>
  <c r="G142" i="14"/>
  <c r="G141" i="14"/>
  <c r="G140" i="14"/>
  <c r="G139" i="14"/>
  <c r="G138" i="14"/>
  <c r="G137" i="14"/>
  <c r="G136" i="14"/>
  <c r="G135" i="14"/>
  <c r="G134" i="14"/>
  <c r="G133" i="14"/>
  <c r="G132" i="14"/>
  <c r="G131" i="14"/>
  <c r="G130" i="14"/>
  <c r="G129" i="14"/>
  <c r="G128" i="14"/>
  <c r="G127" i="14"/>
  <c r="G126" i="14"/>
  <c r="G125" i="14"/>
  <c r="G124" i="14"/>
  <c r="G123" i="14"/>
  <c r="G122" i="14"/>
  <c r="G121" i="14"/>
  <c r="G120" i="14"/>
  <c r="G119" i="14"/>
  <c r="G118" i="14"/>
  <c r="G117" i="14"/>
  <c r="G116" i="14"/>
  <c r="G115" i="14"/>
  <c r="G114" i="14"/>
  <c r="G113" i="14"/>
  <c r="G112" i="14"/>
  <c r="G111" i="14"/>
  <c r="G110" i="14"/>
  <c r="G109" i="14"/>
  <c r="G108" i="14"/>
  <c r="G107" i="14"/>
  <c r="G106" i="14"/>
  <c r="G105" i="14"/>
  <c r="G104" i="14"/>
  <c r="G103" i="14"/>
  <c r="G102" i="14"/>
  <c r="G101" i="14"/>
  <c r="G100" i="14"/>
  <c r="G99" i="14"/>
  <c r="G98" i="14"/>
  <c r="G97" i="14"/>
  <c r="G96" i="14"/>
  <c r="G95" i="14"/>
  <c r="G94" i="14"/>
  <c r="G93" i="14"/>
  <c r="F93" i="14"/>
  <c r="F94" i="14" s="1"/>
  <c r="F95" i="14" s="1"/>
  <c r="F96" i="14" s="1"/>
  <c r="F97" i="14" s="1"/>
  <c r="F98" i="14" s="1"/>
  <c r="F99" i="14" s="1"/>
  <c r="F100" i="14" s="1"/>
  <c r="F101" i="14" s="1"/>
  <c r="F102" i="14" s="1"/>
  <c r="F103" i="14" s="1"/>
  <c r="F104" i="14" s="1"/>
  <c r="F105" i="14" s="1"/>
  <c r="F106" i="14" s="1"/>
  <c r="F107" i="14" s="1"/>
  <c r="F108" i="14" s="1"/>
  <c r="F109" i="14" s="1"/>
  <c r="F110" i="14" s="1"/>
  <c r="F111" i="14" s="1"/>
  <c r="F112" i="14" s="1"/>
  <c r="F113" i="14" s="1"/>
  <c r="F114" i="14" s="1"/>
  <c r="F115" i="14" s="1"/>
  <c r="F116" i="14" s="1"/>
  <c r="F117" i="14" s="1"/>
  <c r="F118" i="14" s="1"/>
  <c r="F119" i="14" s="1"/>
  <c r="F120" i="14" s="1"/>
  <c r="F121" i="14" s="1"/>
  <c r="F122" i="14" s="1"/>
  <c r="F123" i="14" s="1"/>
  <c r="F124" i="14" s="1"/>
  <c r="F125" i="14" s="1"/>
  <c r="F126" i="14" s="1"/>
  <c r="F127" i="14" s="1"/>
  <c r="F128" i="14" s="1"/>
  <c r="F129" i="14" s="1"/>
  <c r="F130" i="14" s="1"/>
  <c r="F131" i="14" s="1"/>
  <c r="F132" i="14" s="1"/>
  <c r="F133" i="14" s="1"/>
  <c r="F134" i="14" s="1"/>
  <c r="F135" i="14" s="1"/>
  <c r="F136" i="14" s="1"/>
  <c r="F137" i="14" s="1"/>
  <c r="F138" i="14" s="1"/>
  <c r="F139" i="14" s="1"/>
  <c r="F140" i="14" s="1"/>
  <c r="F141" i="14" s="1"/>
  <c r="F142" i="14" s="1"/>
  <c r="F143" i="14" s="1"/>
  <c r="F144" i="14" s="1"/>
  <c r="F145" i="14" s="1"/>
  <c r="F146" i="14" s="1"/>
  <c r="F147" i="14" s="1"/>
  <c r="F148" i="14" s="1"/>
  <c r="F149" i="14" s="1"/>
  <c r="F150" i="14" s="1"/>
  <c r="F151" i="14" s="1"/>
  <c r="F152" i="14" s="1"/>
  <c r="F153" i="14" s="1"/>
  <c r="F154" i="14" s="1"/>
  <c r="F155" i="14" s="1"/>
  <c r="F156" i="14" s="1"/>
  <c r="F157" i="14" s="1"/>
  <c r="F158" i="14" s="1"/>
  <c r="F159" i="14" s="1"/>
  <c r="F160" i="14" s="1"/>
  <c r="F161" i="14" s="1"/>
  <c r="F162" i="14" s="1"/>
  <c r="F163" i="14" s="1"/>
  <c r="F164" i="14" s="1"/>
  <c r="F165" i="14" s="1"/>
  <c r="F166" i="14" s="1"/>
  <c r="F167" i="14" s="1"/>
  <c r="F168" i="14" s="1"/>
  <c r="F169" i="14" s="1"/>
  <c r="F170" i="14" s="1"/>
  <c r="F171" i="14" s="1"/>
  <c r="F172" i="14" s="1"/>
  <c r="F173" i="14" s="1"/>
  <c r="F174" i="14" s="1"/>
  <c r="F175" i="14" s="1"/>
  <c r="F176" i="14" s="1"/>
  <c r="F177" i="14" s="1"/>
  <c r="F178" i="14" s="1"/>
  <c r="F179" i="14" s="1"/>
  <c r="F180" i="14" s="1"/>
  <c r="F181" i="14" s="1"/>
  <c r="F182" i="14" s="1"/>
  <c r="F183" i="14" s="1"/>
  <c r="F184" i="14" s="1"/>
  <c r="F185" i="14" s="1"/>
  <c r="F186" i="14" s="1"/>
  <c r="F187" i="14" s="1"/>
  <c r="F188" i="14" s="1"/>
  <c r="F189" i="14" s="1"/>
  <c r="F190" i="14" s="1"/>
  <c r="F191" i="14" s="1"/>
  <c r="F192" i="14" s="1"/>
  <c r="F193" i="14" s="1"/>
  <c r="F194" i="14" s="1"/>
  <c r="F195" i="14" s="1"/>
  <c r="F196" i="14" s="1"/>
  <c r="F197" i="14" s="1"/>
  <c r="F198" i="14" s="1"/>
  <c r="F199" i="14" s="1"/>
  <c r="F200" i="14" s="1"/>
  <c r="F201" i="14" s="1"/>
  <c r="F202" i="14" s="1"/>
  <c r="F203" i="14" s="1"/>
  <c r="F204" i="14" s="1"/>
  <c r="F205" i="14" s="1"/>
  <c r="F206" i="14" s="1"/>
  <c r="F207" i="14" s="1"/>
  <c r="F208" i="14" s="1"/>
  <c r="F209" i="14" s="1"/>
  <c r="F210" i="14" s="1"/>
  <c r="F211" i="14" s="1"/>
  <c r="F212" i="14" s="1"/>
  <c r="F213" i="14" s="1"/>
  <c r="F214" i="14" s="1"/>
  <c r="F215" i="14" s="1"/>
  <c r="F216" i="14" s="1"/>
  <c r="F217" i="14" s="1"/>
  <c r="F218" i="14" s="1"/>
  <c r="F219" i="14" s="1"/>
  <c r="F220" i="14" s="1"/>
  <c r="F221" i="14" s="1"/>
  <c r="F222" i="14" s="1"/>
  <c r="F223" i="14" s="1"/>
  <c r="F224" i="14" s="1"/>
  <c r="F225" i="14" s="1"/>
  <c r="F226" i="14" s="1"/>
  <c r="F227" i="14" s="1"/>
  <c r="F228" i="14" s="1"/>
  <c r="F229" i="14" s="1"/>
  <c r="F230" i="14" s="1"/>
  <c r="F231" i="14" s="1"/>
  <c r="F232" i="14" s="1"/>
  <c r="F233" i="14" s="1"/>
  <c r="F234" i="14" s="1"/>
  <c r="F235" i="14" s="1"/>
  <c r="F236" i="14" s="1"/>
  <c r="F237" i="14" s="1"/>
  <c r="F238" i="14" s="1"/>
  <c r="F239" i="14" s="1"/>
  <c r="F240" i="14" s="1"/>
  <c r="F241" i="14" s="1"/>
  <c r="F242" i="14" s="1"/>
  <c r="F243" i="14" s="1"/>
  <c r="F244" i="14" s="1"/>
  <c r="F245" i="14" s="1"/>
  <c r="F246" i="14" s="1"/>
  <c r="F247" i="14" s="1"/>
  <c r="F248" i="14" s="1"/>
  <c r="F249" i="14" s="1"/>
  <c r="F250" i="14" s="1"/>
  <c r="F251" i="14" s="1"/>
  <c r="F252" i="14" s="1"/>
  <c r="F253" i="14" s="1"/>
  <c r="F254" i="14" s="1"/>
  <c r="F255" i="14" s="1"/>
  <c r="F256" i="14" s="1"/>
  <c r="F257" i="14" s="1"/>
  <c r="F258" i="14" s="1"/>
  <c r="F259" i="14" s="1"/>
  <c r="F260" i="14" s="1"/>
  <c r="F261" i="14" s="1"/>
  <c r="F262" i="14" s="1"/>
  <c r="F263" i="14" s="1"/>
  <c r="F264" i="14" s="1"/>
  <c r="F265" i="14" s="1"/>
  <c r="F266" i="14" s="1"/>
  <c r="F267" i="14" s="1"/>
  <c r="F268" i="14" s="1"/>
  <c r="F269" i="14" s="1"/>
  <c r="F270" i="14" s="1"/>
  <c r="F271" i="14" s="1"/>
  <c r="F272" i="14" s="1"/>
  <c r="F273" i="14" s="1"/>
  <c r="F274" i="14" s="1"/>
  <c r="F275" i="14" s="1"/>
  <c r="F276" i="14" s="1"/>
  <c r="F277" i="14" s="1"/>
  <c r="F278" i="14" s="1"/>
  <c r="F279" i="14" s="1"/>
  <c r="F280" i="14" s="1"/>
  <c r="F281" i="14" s="1"/>
  <c r="F282" i="14" s="1"/>
  <c r="F283" i="14" s="1"/>
  <c r="F284" i="14" s="1"/>
  <c r="F285" i="14" s="1"/>
  <c r="F286" i="14" s="1"/>
  <c r="F287" i="14" s="1"/>
  <c r="F288" i="14" s="1"/>
  <c r="F289" i="14" s="1"/>
  <c r="F290" i="14" s="1"/>
  <c r="F291" i="14" s="1"/>
  <c r="F292" i="14" s="1"/>
  <c r="F293" i="14" s="1"/>
  <c r="F294" i="14" s="1"/>
  <c r="F295" i="14" s="1"/>
  <c r="F296" i="14" s="1"/>
  <c r="F297" i="14" s="1"/>
  <c r="F298" i="14" s="1"/>
  <c r="F299" i="14" s="1"/>
  <c r="F300" i="14" s="1"/>
  <c r="F301" i="14" s="1"/>
  <c r="F302" i="14" s="1"/>
  <c r="F303" i="14" s="1"/>
  <c r="F304" i="14" s="1"/>
  <c r="F305" i="14" s="1"/>
  <c r="F306" i="14" s="1"/>
  <c r="F307" i="14" s="1"/>
  <c r="F308" i="14" s="1"/>
  <c r="F309" i="14" s="1"/>
  <c r="F310" i="14" s="1"/>
  <c r="F311" i="14" s="1"/>
  <c r="F312" i="14" s="1"/>
  <c r="F313" i="14" s="1"/>
  <c r="F314" i="14" s="1"/>
  <c r="F315" i="14" s="1"/>
  <c r="F316" i="14" s="1"/>
  <c r="F317" i="14" s="1"/>
  <c r="F318" i="14" s="1"/>
  <c r="F319" i="14" s="1"/>
  <c r="F320" i="14" s="1"/>
  <c r="F321" i="14" s="1"/>
  <c r="F322" i="14" s="1"/>
  <c r="F323" i="14" s="1"/>
  <c r="F324" i="14" s="1"/>
  <c r="F325" i="14" s="1"/>
  <c r="F326" i="14" s="1"/>
  <c r="F327" i="14" s="1"/>
  <c r="F328" i="14" s="1"/>
  <c r="F329" i="14" s="1"/>
  <c r="F330" i="14" s="1"/>
  <c r="F331" i="14" s="1"/>
  <c r="F332" i="14" s="1"/>
  <c r="F333" i="14" s="1"/>
  <c r="F334" i="14" s="1"/>
  <c r="F335" i="14" s="1"/>
  <c r="F336" i="14" s="1"/>
  <c r="F337" i="14" s="1"/>
  <c r="F338" i="14" s="1"/>
  <c r="F339" i="14" s="1"/>
  <c r="F340" i="14" s="1"/>
  <c r="F341" i="14" s="1"/>
  <c r="F342" i="14" s="1"/>
  <c r="F343" i="14" s="1"/>
  <c r="F344" i="14" s="1"/>
  <c r="F345" i="14" s="1"/>
  <c r="F346" i="14" s="1"/>
  <c r="F347" i="14" s="1"/>
  <c r="F348" i="14" s="1"/>
  <c r="F349" i="14" s="1"/>
  <c r="F350" i="14" s="1"/>
  <c r="F351" i="14" s="1"/>
  <c r="F352" i="14" s="1"/>
  <c r="F353" i="14" s="1"/>
  <c r="F354" i="14" s="1"/>
  <c r="F355" i="14" s="1"/>
  <c r="F356" i="14" s="1"/>
  <c r="F357" i="14" s="1"/>
  <c r="F358" i="14" s="1"/>
  <c r="F359" i="14" s="1"/>
  <c r="F360" i="14" s="1"/>
  <c r="F361" i="14" s="1"/>
  <c r="F362" i="14" s="1"/>
  <c r="F363" i="14" s="1"/>
  <c r="F364" i="14" s="1"/>
  <c r="F365" i="14" s="1"/>
  <c r="F366" i="14" s="1"/>
  <c r="F367" i="14" s="1"/>
  <c r="F368" i="14" s="1"/>
  <c r="F369" i="14" s="1"/>
  <c r="F370" i="14" s="1"/>
  <c r="F371" i="14" s="1"/>
  <c r="F372" i="14" s="1"/>
  <c r="F373" i="14" s="1"/>
  <c r="F374" i="14" s="1"/>
  <c r="F375" i="14" s="1"/>
  <c r="F376" i="14" s="1"/>
  <c r="F377" i="14" s="1"/>
  <c r="F378" i="14" s="1"/>
  <c r="F379" i="14" s="1"/>
  <c r="F380" i="14" s="1"/>
  <c r="F381" i="14" s="1"/>
  <c r="F382" i="14" s="1"/>
  <c r="F383" i="14" s="1"/>
  <c r="F384" i="14" s="1"/>
  <c r="F385" i="14" s="1"/>
  <c r="F386" i="14" s="1"/>
  <c r="F387" i="14" s="1"/>
  <c r="F388" i="14" s="1"/>
  <c r="F389" i="14" s="1"/>
  <c r="F390" i="14" s="1"/>
  <c r="F391" i="14" s="1"/>
  <c r="F392" i="14" s="1"/>
  <c r="F393" i="14" s="1"/>
  <c r="F394" i="14" s="1"/>
  <c r="F395" i="14" s="1"/>
  <c r="F396" i="14" s="1"/>
  <c r="F397" i="14" s="1"/>
  <c r="F398" i="14" s="1"/>
  <c r="F399" i="14" s="1"/>
  <c r="F400" i="14" s="1"/>
  <c r="F401" i="14" s="1"/>
  <c r="F402" i="14" s="1"/>
  <c r="F403" i="14" s="1"/>
  <c r="F404" i="14" s="1"/>
  <c r="F405" i="14" s="1"/>
  <c r="F406" i="14" s="1"/>
  <c r="F407" i="14" s="1"/>
  <c r="F408" i="14" s="1"/>
  <c r="F409" i="14" s="1"/>
  <c r="F410" i="14" s="1"/>
  <c r="F411" i="14" s="1"/>
  <c r="F412" i="14" s="1"/>
  <c r="F413" i="14" s="1"/>
  <c r="F414" i="14" s="1"/>
  <c r="F415" i="14" s="1"/>
  <c r="F416" i="14" s="1"/>
  <c r="F417" i="14" s="1"/>
  <c r="F418" i="14" s="1"/>
  <c r="F419" i="14" s="1"/>
  <c r="F420" i="14" s="1"/>
  <c r="F421" i="14" s="1"/>
  <c r="F422" i="14" s="1"/>
  <c r="F423" i="14" s="1"/>
  <c r="F424" i="14" s="1"/>
  <c r="F425" i="14" s="1"/>
  <c r="F426" i="14" s="1"/>
  <c r="F427" i="14" s="1"/>
  <c r="F428" i="14" s="1"/>
  <c r="F429" i="14" s="1"/>
  <c r="F430" i="14" s="1"/>
  <c r="F431" i="14" s="1"/>
  <c r="F432" i="14" s="1"/>
  <c r="F433" i="14" s="1"/>
  <c r="F434" i="14" s="1"/>
  <c r="F435" i="14" s="1"/>
  <c r="F436" i="14" s="1"/>
  <c r="F437" i="14" s="1"/>
  <c r="F438" i="14" s="1"/>
  <c r="F439" i="14" s="1"/>
  <c r="F440" i="14" s="1"/>
  <c r="F441" i="14" s="1"/>
  <c r="F442" i="14" s="1"/>
  <c r="F443" i="14" s="1"/>
  <c r="F444" i="14" s="1"/>
  <c r="F445" i="14" s="1"/>
  <c r="F446" i="14" s="1"/>
  <c r="F447" i="14" s="1"/>
  <c r="F448" i="14" s="1"/>
  <c r="F449" i="14" s="1"/>
  <c r="F450" i="14" s="1"/>
  <c r="F451" i="14" s="1"/>
  <c r="F452" i="14" s="1"/>
  <c r="F453" i="14" s="1"/>
  <c r="F454" i="14" s="1"/>
  <c r="F455" i="14" s="1"/>
  <c r="F456" i="14" s="1"/>
  <c r="F457" i="14" s="1"/>
  <c r="F458" i="14" s="1"/>
  <c r="F459" i="14" s="1"/>
  <c r="F460" i="14" s="1"/>
  <c r="F461" i="14" s="1"/>
  <c r="F462" i="14" s="1"/>
  <c r="F463" i="14" s="1"/>
  <c r="F464" i="14" s="1"/>
  <c r="F465" i="14" s="1"/>
  <c r="F466" i="14" s="1"/>
  <c r="F467" i="14" s="1"/>
  <c r="F468" i="14" s="1"/>
  <c r="F469" i="14" s="1"/>
  <c r="F470" i="14" s="1"/>
  <c r="F471" i="14" s="1"/>
  <c r="F472" i="14" s="1"/>
  <c r="F473" i="14" s="1"/>
  <c r="F474" i="14" s="1"/>
  <c r="F475" i="14" s="1"/>
  <c r="F476" i="14" s="1"/>
  <c r="F477" i="14" s="1"/>
  <c r="F478" i="14" s="1"/>
  <c r="F479" i="14" s="1"/>
  <c r="F480" i="14" s="1"/>
  <c r="F481" i="14" s="1"/>
  <c r="F482" i="14" s="1"/>
  <c r="F483" i="14" s="1"/>
  <c r="F484" i="14" s="1"/>
  <c r="F485" i="14" s="1"/>
  <c r="F486" i="14" s="1"/>
  <c r="F487" i="14" s="1"/>
  <c r="F488" i="14" s="1"/>
  <c r="F489" i="14" s="1"/>
  <c r="F490" i="14" s="1"/>
  <c r="F491" i="14" s="1"/>
  <c r="F492" i="14" s="1"/>
  <c r="F493" i="14" s="1"/>
  <c r="F494" i="14" s="1"/>
  <c r="F495" i="14" s="1"/>
  <c r="F496" i="14" s="1"/>
  <c r="F497" i="14" s="1"/>
  <c r="F498" i="14" s="1"/>
  <c r="F499" i="14" s="1"/>
  <c r="F500" i="14" s="1"/>
  <c r="F501" i="14" s="1"/>
  <c r="F502" i="14" s="1"/>
  <c r="F503" i="14" s="1"/>
  <c r="F504" i="14" s="1"/>
  <c r="F505" i="14" s="1"/>
  <c r="F506" i="14" s="1"/>
  <c r="F507" i="14" s="1"/>
  <c r="F508" i="14" s="1"/>
  <c r="F509" i="14" s="1"/>
  <c r="F510" i="14" s="1"/>
  <c r="F511" i="14" s="1"/>
  <c r="F512" i="14" s="1"/>
  <c r="F513" i="14" s="1"/>
  <c r="F514" i="14" s="1"/>
  <c r="F515" i="14" s="1"/>
  <c r="F516" i="14" s="1"/>
  <c r="F517" i="14" s="1"/>
  <c r="F518" i="14" s="1"/>
  <c r="F519" i="14" s="1"/>
  <c r="F520" i="14" s="1"/>
  <c r="F521" i="14" s="1"/>
  <c r="F522" i="14" s="1"/>
  <c r="F523" i="14" s="1"/>
  <c r="F524" i="14" s="1"/>
  <c r="F525" i="14" s="1"/>
  <c r="F526" i="14" s="1"/>
  <c r="F527" i="14" s="1"/>
  <c r="F528" i="14" s="1"/>
  <c r="F529" i="14" s="1"/>
  <c r="F530" i="14" s="1"/>
  <c r="F531" i="14" s="1"/>
  <c r="F532" i="14" s="1"/>
  <c r="F533" i="14" s="1"/>
  <c r="F534" i="14" s="1"/>
  <c r="F535" i="14" s="1"/>
  <c r="F536" i="14" s="1"/>
  <c r="F537" i="14" s="1"/>
  <c r="F538" i="14" s="1"/>
  <c r="F539" i="14" s="1"/>
  <c r="F540" i="14" s="1"/>
  <c r="F541" i="14" s="1"/>
  <c r="F542" i="14" s="1"/>
  <c r="F543" i="14" s="1"/>
  <c r="F544" i="14" s="1"/>
  <c r="F545" i="14" s="1"/>
  <c r="F546" i="14" s="1"/>
  <c r="F547" i="14" s="1"/>
  <c r="F548" i="14" s="1"/>
  <c r="F549" i="14" s="1"/>
  <c r="F550" i="14" s="1"/>
  <c r="F551" i="14" s="1"/>
  <c r="F552" i="14" s="1"/>
  <c r="F553" i="14" s="1"/>
  <c r="F554" i="14" s="1"/>
  <c r="F555" i="14" s="1"/>
  <c r="F556" i="14" s="1"/>
  <c r="F557" i="14" s="1"/>
  <c r="F558" i="14" s="1"/>
  <c r="F559" i="14" s="1"/>
  <c r="F560" i="14" s="1"/>
  <c r="F561" i="14" s="1"/>
  <c r="F562" i="14" s="1"/>
  <c r="F563" i="14" s="1"/>
  <c r="F564" i="14" s="1"/>
  <c r="F565" i="14" s="1"/>
  <c r="F566" i="14" s="1"/>
  <c r="F567" i="14" s="1"/>
  <c r="F568" i="14" s="1"/>
  <c r="F569" i="14" s="1"/>
  <c r="F570" i="14" s="1"/>
  <c r="F571" i="14" s="1"/>
  <c r="F572" i="14" s="1"/>
  <c r="F573" i="14" s="1"/>
  <c r="F574" i="14" s="1"/>
  <c r="F575" i="14" s="1"/>
  <c r="F576" i="14" s="1"/>
  <c r="F577" i="14" s="1"/>
  <c r="F578" i="14" s="1"/>
  <c r="F579" i="14" s="1"/>
  <c r="F580" i="14" s="1"/>
  <c r="F581" i="14" s="1"/>
  <c r="F582" i="14" s="1"/>
  <c r="F583" i="14" s="1"/>
  <c r="F584" i="14" s="1"/>
  <c r="F585" i="14" s="1"/>
  <c r="F586" i="14" s="1"/>
  <c r="F587" i="14" s="1"/>
  <c r="F588" i="14" s="1"/>
  <c r="F589" i="14" s="1"/>
  <c r="F590" i="14" s="1"/>
  <c r="F591" i="14" s="1"/>
  <c r="F592" i="14" s="1"/>
  <c r="F593" i="14" s="1"/>
  <c r="F594" i="14" s="1"/>
  <c r="F595" i="14" s="1"/>
  <c r="F596" i="14" s="1"/>
  <c r="F597" i="14" s="1"/>
  <c r="F598" i="14" s="1"/>
  <c r="F599" i="14" s="1"/>
  <c r="F600" i="14" s="1"/>
  <c r="F601" i="14" s="1"/>
  <c r="F602" i="14" s="1"/>
  <c r="F603" i="14" s="1"/>
  <c r="F604" i="14" s="1"/>
  <c r="F605" i="14" s="1"/>
  <c r="F606" i="14" s="1"/>
  <c r="F607" i="14" s="1"/>
  <c r="F608" i="14" s="1"/>
  <c r="F609" i="14" s="1"/>
  <c r="F610" i="14" s="1"/>
  <c r="F611" i="14" s="1"/>
  <c r="F612" i="14" s="1"/>
  <c r="F613" i="14" s="1"/>
  <c r="F614" i="14" s="1"/>
  <c r="F615" i="14" s="1"/>
  <c r="F616" i="14" s="1"/>
  <c r="F617" i="14" s="1"/>
  <c r="F618" i="14" s="1"/>
  <c r="F619" i="14" s="1"/>
  <c r="F620" i="14" s="1"/>
  <c r="F621" i="14" s="1"/>
  <c r="F622" i="14" s="1"/>
  <c r="F623" i="14" s="1"/>
  <c r="F624" i="14" s="1"/>
  <c r="F625" i="14" s="1"/>
  <c r="F626" i="14" s="1"/>
  <c r="F627" i="14" s="1"/>
  <c r="F628" i="14" s="1"/>
  <c r="F629" i="14" s="1"/>
  <c r="F630" i="14" s="1"/>
  <c r="F631" i="14" s="1"/>
  <c r="F632" i="14" s="1"/>
  <c r="F633" i="14" s="1"/>
  <c r="F634" i="14" s="1"/>
  <c r="F635" i="14" s="1"/>
  <c r="F636" i="14" s="1"/>
  <c r="F637" i="14" s="1"/>
  <c r="F638" i="14" s="1"/>
  <c r="F639" i="14" s="1"/>
  <c r="F640" i="14" s="1"/>
  <c r="F641" i="14" s="1"/>
  <c r="F642" i="14" s="1"/>
  <c r="F643" i="14" s="1"/>
  <c r="F644" i="14" s="1"/>
  <c r="F645" i="14" s="1"/>
  <c r="F646" i="14" s="1"/>
  <c r="F647" i="14" s="1"/>
  <c r="F648" i="14" s="1"/>
  <c r="F649" i="14" s="1"/>
  <c r="F650" i="14" s="1"/>
  <c r="F651" i="14" s="1"/>
  <c r="F652" i="14" s="1"/>
  <c r="F653" i="14" s="1"/>
  <c r="F654" i="14" s="1"/>
  <c r="F655" i="14" s="1"/>
  <c r="F656" i="14" s="1"/>
  <c r="F657" i="14" s="1"/>
  <c r="F658" i="14" s="1"/>
  <c r="F659" i="14" s="1"/>
  <c r="F660" i="14" s="1"/>
  <c r="F661" i="14" s="1"/>
  <c r="F662" i="14" s="1"/>
  <c r="F663" i="14" s="1"/>
  <c r="F664" i="14" s="1"/>
  <c r="F665" i="14" s="1"/>
  <c r="F666" i="14" s="1"/>
  <c r="F667" i="14" s="1"/>
  <c r="F668" i="14" s="1"/>
  <c r="F669" i="14" s="1"/>
  <c r="F670" i="14" s="1"/>
  <c r="F671" i="14" s="1"/>
  <c r="F672" i="14" s="1"/>
  <c r="F673" i="14" s="1"/>
  <c r="F674" i="14" s="1"/>
  <c r="F675" i="14" s="1"/>
  <c r="F676" i="14" s="1"/>
  <c r="F677" i="14" s="1"/>
  <c r="F678" i="14" s="1"/>
  <c r="F679" i="14" s="1"/>
  <c r="F680" i="14" s="1"/>
  <c r="F681" i="14" s="1"/>
  <c r="F682" i="14" s="1"/>
  <c r="F683" i="14" s="1"/>
  <c r="F684" i="14" s="1"/>
  <c r="F685" i="14" s="1"/>
  <c r="F686" i="14" s="1"/>
  <c r="F687" i="14" s="1"/>
  <c r="F688" i="14" s="1"/>
  <c r="F689" i="14" s="1"/>
  <c r="F690" i="14" s="1"/>
  <c r="F691" i="14" s="1"/>
  <c r="F692" i="14" s="1"/>
  <c r="F693" i="14" s="1"/>
  <c r="F694" i="14" s="1"/>
  <c r="F695" i="14" s="1"/>
  <c r="F696" i="14" s="1"/>
  <c r="F697" i="14" s="1"/>
  <c r="F698" i="14" s="1"/>
  <c r="F699" i="14" s="1"/>
  <c r="F700" i="14" s="1"/>
  <c r="F701" i="14" s="1"/>
  <c r="F702" i="14" s="1"/>
  <c r="F703" i="14" s="1"/>
  <c r="F704" i="14" s="1"/>
  <c r="F705" i="14" s="1"/>
  <c r="F706" i="14" s="1"/>
  <c r="F707" i="14" s="1"/>
  <c r="F708" i="14" s="1"/>
  <c r="F709" i="14" s="1"/>
  <c r="F710" i="14" s="1"/>
  <c r="F711" i="14" s="1"/>
  <c r="F712" i="14" s="1"/>
  <c r="F713" i="14" s="1"/>
  <c r="F714" i="14" s="1"/>
  <c r="F715" i="14" s="1"/>
  <c r="F716" i="14" s="1"/>
  <c r="F717" i="14" s="1"/>
  <c r="F718" i="14" s="1"/>
  <c r="F719" i="14" s="1"/>
  <c r="F720" i="14" s="1"/>
  <c r="F721" i="14" s="1"/>
  <c r="F722" i="14" s="1"/>
  <c r="F723" i="14" s="1"/>
  <c r="F724" i="14" s="1"/>
  <c r="F725" i="14" s="1"/>
  <c r="F726" i="14" s="1"/>
  <c r="F727" i="14" s="1"/>
  <c r="F728" i="14" s="1"/>
  <c r="F729" i="14" s="1"/>
  <c r="F730" i="14" s="1"/>
  <c r="F731" i="14" s="1"/>
  <c r="F732" i="14" s="1"/>
  <c r="F733" i="14" s="1"/>
  <c r="F734" i="14" s="1"/>
  <c r="F735" i="14" s="1"/>
  <c r="F736" i="14" s="1"/>
  <c r="F737" i="14" s="1"/>
  <c r="F738" i="14" s="1"/>
  <c r="F739" i="14" s="1"/>
  <c r="F740" i="14" s="1"/>
  <c r="F741" i="14" s="1"/>
  <c r="F742" i="14" s="1"/>
  <c r="F743" i="14" s="1"/>
  <c r="F744" i="14" s="1"/>
  <c r="F745" i="14" s="1"/>
  <c r="F746" i="14" s="1"/>
  <c r="F747" i="14" s="1"/>
  <c r="F748" i="14" s="1"/>
  <c r="F749" i="14" s="1"/>
  <c r="F750" i="14" s="1"/>
  <c r="F751" i="14" s="1"/>
  <c r="F752" i="14" s="1"/>
  <c r="F753" i="14" s="1"/>
  <c r="F754" i="14" s="1"/>
  <c r="F755" i="14" s="1"/>
  <c r="F756" i="14" s="1"/>
  <c r="F757" i="14" s="1"/>
  <c r="F758" i="14" s="1"/>
  <c r="F759" i="14" s="1"/>
  <c r="F760" i="14" s="1"/>
  <c r="F761" i="14" s="1"/>
  <c r="F762" i="14" s="1"/>
  <c r="F763" i="14" s="1"/>
  <c r="F764" i="14" s="1"/>
  <c r="F765" i="14" s="1"/>
  <c r="F766" i="14" s="1"/>
  <c r="F767" i="14" s="1"/>
  <c r="F768" i="14" s="1"/>
  <c r="F769" i="14" s="1"/>
  <c r="F770" i="14" s="1"/>
  <c r="F771" i="14" s="1"/>
  <c r="F772" i="14" s="1"/>
  <c r="F773" i="14" s="1"/>
  <c r="F774" i="14" s="1"/>
  <c r="F775" i="14" s="1"/>
  <c r="F776" i="14" s="1"/>
  <c r="F777" i="14" s="1"/>
  <c r="F778" i="14" s="1"/>
  <c r="F779" i="14" s="1"/>
  <c r="F780" i="14" s="1"/>
  <c r="F781" i="14" s="1"/>
  <c r="F782" i="14" s="1"/>
  <c r="F783" i="14" s="1"/>
  <c r="F784" i="14" s="1"/>
  <c r="F785" i="14" s="1"/>
  <c r="F786" i="14" s="1"/>
  <c r="F787" i="14" s="1"/>
  <c r="F788" i="14" s="1"/>
  <c r="F789" i="14" s="1"/>
  <c r="F790" i="14" s="1"/>
  <c r="F791" i="14" s="1"/>
  <c r="F792" i="14" s="1"/>
  <c r="F793" i="14" s="1"/>
  <c r="F794" i="14" s="1"/>
  <c r="F795" i="14" s="1"/>
  <c r="F796" i="14" s="1"/>
  <c r="F797" i="14" s="1"/>
  <c r="F798" i="14" s="1"/>
  <c r="F799" i="14" s="1"/>
  <c r="F800" i="14" s="1"/>
  <c r="F801" i="14" s="1"/>
  <c r="F802" i="14" s="1"/>
  <c r="F803" i="14" s="1"/>
  <c r="F804" i="14" s="1"/>
  <c r="F805" i="14" s="1"/>
  <c r="F806" i="14" s="1"/>
  <c r="F807" i="14" s="1"/>
  <c r="F808" i="14" s="1"/>
  <c r="F809" i="14" s="1"/>
  <c r="F810" i="14" s="1"/>
  <c r="F811" i="14" s="1"/>
  <c r="F812" i="14" s="1"/>
  <c r="F813" i="14" s="1"/>
  <c r="F814" i="14" s="1"/>
  <c r="F815" i="14" s="1"/>
  <c r="F816" i="14" s="1"/>
  <c r="F817" i="14" s="1"/>
  <c r="F818" i="14" s="1"/>
  <c r="F819" i="14" s="1"/>
  <c r="F820" i="14" s="1"/>
  <c r="F821" i="14" s="1"/>
  <c r="F822" i="14" s="1"/>
  <c r="F823" i="14" s="1"/>
  <c r="F824" i="14" s="1"/>
  <c r="F825" i="14" s="1"/>
  <c r="F826" i="14" s="1"/>
  <c r="F827" i="14" s="1"/>
  <c r="F828" i="14" s="1"/>
  <c r="F829" i="14" s="1"/>
  <c r="F830" i="14" s="1"/>
  <c r="F831" i="14" s="1"/>
  <c r="F832" i="14" s="1"/>
  <c r="F833" i="14" s="1"/>
  <c r="F834" i="14" s="1"/>
  <c r="F835" i="14" s="1"/>
  <c r="F836" i="14" s="1"/>
  <c r="F837" i="14" s="1"/>
  <c r="F838" i="14" s="1"/>
  <c r="F839" i="14" s="1"/>
  <c r="F840" i="14" s="1"/>
  <c r="F841" i="14" s="1"/>
  <c r="F842" i="14" s="1"/>
  <c r="F843" i="14" s="1"/>
  <c r="F844" i="14" s="1"/>
  <c r="F845" i="14" s="1"/>
  <c r="F846" i="14" s="1"/>
  <c r="F847" i="14" s="1"/>
  <c r="F848" i="14" s="1"/>
  <c r="F849" i="14" s="1"/>
  <c r="F850" i="14" s="1"/>
  <c r="F851" i="14" s="1"/>
  <c r="F852" i="14" s="1"/>
  <c r="F853" i="14" s="1"/>
  <c r="F854" i="14" s="1"/>
  <c r="F855" i="14" s="1"/>
  <c r="F856" i="14" s="1"/>
  <c r="F857" i="14" s="1"/>
  <c r="F858" i="14" s="1"/>
  <c r="F859" i="14" s="1"/>
  <c r="F860" i="14" s="1"/>
  <c r="F861" i="14" s="1"/>
  <c r="F862" i="14" s="1"/>
  <c r="F863" i="14" s="1"/>
  <c r="F864" i="14" s="1"/>
  <c r="F865" i="14" s="1"/>
  <c r="F866" i="14" s="1"/>
  <c r="F867" i="14" s="1"/>
  <c r="F868" i="14" s="1"/>
  <c r="F869" i="14" s="1"/>
  <c r="F870" i="14" s="1"/>
  <c r="F871" i="14" s="1"/>
  <c r="F872" i="14" s="1"/>
  <c r="F873" i="14" s="1"/>
  <c r="F874" i="14" s="1"/>
  <c r="F875" i="14" s="1"/>
  <c r="F876" i="14" s="1"/>
  <c r="F877" i="14" s="1"/>
  <c r="F878" i="14" s="1"/>
  <c r="F879" i="14" s="1"/>
  <c r="F880" i="14" s="1"/>
  <c r="F881" i="14" s="1"/>
  <c r="F882" i="14" s="1"/>
  <c r="F883" i="14" s="1"/>
  <c r="F884" i="14" s="1"/>
  <c r="F885" i="14" s="1"/>
  <c r="F886" i="14" s="1"/>
  <c r="F887" i="14" s="1"/>
  <c r="F888" i="14" s="1"/>
  <c r="F889" i="14" s="1"/>
  <c r="F890" i="14" s="1"/>
  <c r="F891" i="14" s="1"/>
  <c r="F892" i="14" s="1"/>
  <c r="F893" i="14" s="1"/>
  <c r="F894" i="14" s="1"/>
  <c r="F895" i="14" s="1"/>
  <c r="F896" i="14" s="1"/>
  <c r="F897" i="14" s="1"/>
  <c r="F898" i="14" s="1"/>
  <c r="F899" i="14" s="1"/>
  <c r="F900" i="14" s="1"/>
  <c r="F901" i="14" s="1"/>
  <c r="F902" i="14" s="1"/>
  <c r="F903" i="14" s="1"/>
  <c r="F904" i="14" s="1"/>
  <c r="F905" i="14" s="1"/>
  <c r="F906" i="14" s="1"/>
  <c r="F907" i="14" s="1"/>
  <c r="F908" i="14" s="1"/>
  <c r="F909" i="14" s="1"/>
  <c r="F910" i="14" s="1"/>
  <c r="F911" i="14" s="1"/>
  <c r="F912" i="14" s="1"/>
  <c r="F913" i="14" s="1"/>
  <c r="F914" i="14" s="1"/>
  <c r="F915" i="14" s="1"/>
  <c r="F916" i="14" s="1"/>
  <c r="F917" i="14" s="1"/>
  <c r="F918" i="14" s="1"/>
  <c r="F919" i="14" s="1"/>
  <c r="F920" i="14" s="1"/>
  <c r="F921" i="14" s="1"/>
  <c r="F922" i="14" s="1"/>
  <c r="F923" i="14" s="1"/>
  <c r="F924" i="14" s="1"/>
  <c r="F925" i="14" s="1"/>
  <c r="F926" i="14" s="1"/>
  <c r="F927" i="14" s="1"/>
  <c r="F928" i="14" s="1"/>
  <c r="F929" i="14" s="1"/>
  <c r="F930" i="14" s="1"/>
  <c r="F931" i="14" s="1"/>
  <c r="F932" i="14" s="1"/>
  <c r="F933" i="14" s="1"/>
  <c r="F934" i="14" s="1"/>
  <c r="F935" i="14" s="1"/>
  <c r="F936" i="14" s="1"/>
  <c r="F937" i="14" s="1"/>
  <c r="F938" i="14" s="1"/>
  <c r="F939" i="14" s="1"/>
  <c r="F940" i="14" s="1"/>
  <c r="F941" i="14" s="1"/>
  <c r="F942" i="14" s="1"/>
  <c r="F943" i="14" s="1"/>
  <c r="F944" i="14" s="1"/>
  <c r="F945" i="14" s="1"/>
  <c r="F946" i="14" s="1"/>
  <c r="F947" i="14" s="1"/>
  <c r="F948" i="14" s="1"/>
  <c r="F949" i="14" s="1"/>
  <c r="F950" i="14" s="1"/>
  <c r="F951" i="14" s="1"/>
  <c r="F952" i="14" s="1"/>
  <c r="F953" i="14" s="1"/>
  <c r="F954" i="14" s="1"/>
  <c r="F955" i="14" s="1"/>
  <c r="F956" i="14" s="1"/>
  <c r="F957" i="14" s="1"/>
  <c r="F958" i="14" s="1"/>
  <c r="F959" i="14" s="1"/>
  <c r="F960" i="14" s="1"/>
  <c r="F961" i="14" s="1"/>
  <c r="F962" i="14" s="1"/>
  <c r="F963" i="14" s="1"/>
  <c r="F964" i="14" s="1"/>
  <c r="F965" i="14" s="1"/>
  <c r="F966" i="14" s="1"/>
  <c r="F967" i="14" s="1"/>
  <c r="F968" i="14" s="1"/>
  <c r="F969" i="14" s="1"/>
  <c r="F970" i="14" s="1"/>
  <c r="F971" i="14" s="1"/>
  <c r="F972" i="14" s="1"/>
  <c r="F973" i="14" s="1"/>
  <c r="F974" i="14" s="1"/>
  <c r="F975" i="14" s="1"/>
  <c r="F976" i="14" s="1"/>
  <c r="F977" i="14" s="1"/>
  <c r="F978" i="14" s="1"/>
  <c r="F979" i="14" s="1"/>
  <c r="F980" i="14" s="1"/>
  <c r="F981" i="14" s="1"/>
  <c r="F982" i="14" s="1"/>
  <c r="F983" i="14" s="1"/>
  <c r="F984" i="14" s="1"/>
  <c r="F985" i="14" s="1"/>
  <c r="F986" i="14" s="1"/>
  <c r="F987" i="14" s="1"/>
  <c r="F988" i="14" s="1"/>
  <c r="F989" i="14" s="1"/>
  <c r="F990" i="14" s="1"/>
  <c r="F991" i="14" s="1"/>
  <c r="F992" i="14" s="1"/>
  <c r="F993" i="14" s="1"/>
  <c r="F994" i="14" s="1"/>
  <c r="F995" i="14" s="1"/>
  <c r="F996" i="14" s="1"/>
  <c r="F997" i="14" s="1"/>
  <c r="F998" i="14" s="1"/>
  <c r="F999" i="14" s="1"/>
  <c r="F1000" i="14" s="1"/>
  <c r="F1001" i="14" s="1"/>
  <c r="F1002" i="14" s="1"/>
  <c r="F1003" i="14" s="1"/>
  <c r="F1004" i="14" s="1"/>
  <c r="F1005" i="14" s="1"/>
  <c r="F1006" i="14" s="1"/>
  <c r="F1007" i="14" s="1"/>
  <c r="F1008" i="14" s="1"/>
  <c r="F1009" i="14" s="1"/>
  <c r="F1010" i="14" s="1"/>
  <c r="F1011" i="14" s="1"/>
  <c r="F1012" i="14" s="1"/>
  <c r="F1013" i="14" s="1"/>
  <c r="F1014" i="14" s="1"/>
  <c r="F1015" i="14" s="1"/>
  <c r="F1016" i="14" s="1"/>
  <c r="F1017" i="14" s="1"/>
  <c r="F1018" i="14" s="1"/>
  <c r="F1019" i="14" s="1"/>
  <c r="F1020" i="14" s="1"/>
  <c r="F1021" i="14" s="1"/>
  <c r="F1022" i="14" s="1"/>
  <c r="F1023" i="14" s="1"/>
  <c r="F1024" i="14" s="1"/>
  <c r="F1025" i="14" s="1"/>
  <c r="F1026" i="14" s="1"/>
  <c r="F1027" i="14" s="1"/>
  <c r="F1028" i="14" s="1"/>
  <c r="F1029" i="14" s="1"/>
  <c r="F1030" i="14" s="1"/>
  <c r="F1031" i="14" s="1"/>
  <c r="F1032" i="14" s="1"/>
  <c r="F1033" i="14" s="1"/>
  <c r="F1034" i="14" s="1"/>
  <c r="F1035" i="14" s="1"/>
  <c r="F1036" i="14" s="1"/>
  <c r="F1037" i="14" s="1"/>
  <c r="F1038" i="14" s="1"/>
  <c r="F1039" i="14" s="1"/>
  <c r="F1040" i="14" s="1"/>
  <c r="F1041" i="14" s="1"/>
  <c r="F1042" i="14" s="1"/>
  <c r="F1043" i="14" s="1"/>
  <c r="F1044" i="14" s="1"/>
  <c r="F1045" i="14" s="1"/>
  <c r="F1046" i="14" s="1"/>
  <c r="F1047" i="14" s="1"/>
  <c r="F1048" i="14" s="1"/>
  <c r="F1049" i="14" s="1"/>
  <c r="F1050" i="14" s="1"/>
  <c r="F1051" i="14" s="1"/>
  <c r="F1052" i="14" s="1"/>
  <c r="F1053" i="14" s="1"/>
  <c r="F1054" i="14" s="1"/>
  <c r="F1055" i="14" s="1"/>
  <c r="F1056" i="14" s="1"/>
  <c r="F1057" i="14" s="1"/>
  <c r="F1058" i="14" s="1"/>
  <c r="F1059" i="14" s="1"/>
  <c r="F1060" i="14" s="1"/>
  <c r="F1061" i="14" s="1"/>
  <c r="F1062" i="14" s="1"/>
  <c r="F1063" i="14" s="1"/>
  <c r="F1064" i="14" s="1"/>
  <c r="F1065" i="14" s="1"/>
  <c r="F1066" i="14" s="1"/>
  <c r="F1067" i="14" s="1"/>
  <c r="F1068" i="14" s="1"/>
  <c r="F1069" i="14" s="1"/>
  <c r="F1070" i="14" s="1"/>
  <c r="F1071" i="14" s="1"/>
  <c r="F1072" i="14" s="1"/>
  <c r="F1073" i="14" s="1"/>
  <c r="F1074" i="14" s="1"/>
  <c r="F1075" i="14" s="1"/>
  <c r="F1076" i="14" s="1"/>
  <c r="F1077" i="14" s="1"/>
  <c r="F1078" i="14" s="1"/>
  <c r="F1079" i="14" s="1"/>
  <c r="F1080" i="14" s="1"/>
  <c r="F1081" i="14" s="1"/>
  <c r="F1082" i="14" s="1"/>
  <c r="F1083" i="14" s="1"/>
  <c r="F1084" i="14" s="1"/>
  <c r="F1085" i="14" s="1"/>
  <c r="F1086" i="14" s="1"/>
  <c r="F1087" i="14" s="1"/>
  <c r="F1088" i="14" s="1"/>
  <c r="F1089" i="14" s="1"/>
  <c r="F1090" i="14" s="1"/>
  <c r="F1091" i="14" s="1"/>
  <c r="G92" i="14"/>
  <c r="B67" i="14"/>
  <c r="B65" i="14"/>
  <c r="E63" i="14"/>
  <c r="D63" i="14"/>
  <c r="C63" i="14"/>
  <c r="B53" i="14"/>
  <c r="B60" i="14" s="1"/>
  <c r="B66" i="14" s="1"/>
  <c r="B47" i="14"/>
  <c r="B86" i="12"/>
  <c r="B85" i="12"/>
  <c r="E83" i="12"/>
  <c r="D83" i="12"/>
  <c r="C83" i="12"/>
  <c r="B69" i="12"/>
  <c r="B68" i="12"/>
  <c r="B63" i="12"/>
  <c r="B62" i="12"/>
  <c r="B61" i="12"/>
  <c r="C66" i="11"/>
  <c r="C64" i="11"/>
  <c r="D64" i="11"/>
  <c r="E64" i="11"/>
  <c r="B56" i="11"/>
  <c r="C62" i="11" s="1"/>
  <c r="B53" i="11"/>
  <c r="B54" i="11" s="1"/>
  <c r="G52" i="11" s="1"/>
  <c r="B52" i="14" l="1"/>
  <c r="E61" i="14" s="1"/>
  <c r="E67" i="14" s="1"/>
  <c r="B50" i="14"/>
  <c r="B51" i="14"/>
  <c r="B75" i="12"/>
  <c r="E81" i="12" s="1"/>
  <c r="E86" i="12" s="1"/>
  <c r="B74" i="12"/>
  <c r="E80" i="12" s="1"/>
  <c r="E85" i="12" s="1"/>
  <c r="I58" i="11"/>
  <c r="J55" i="11"/>
  <c r="H53" i="11"/>
  <c r="M55" i="11"/>
  <c r="M58" i="11"/>
  <c r="J52" i="11"/>
  <c r="K54" i="11"/>
  <c r="M52" i="11"/>
  <c r="M54" i="11"/>
  <c r="I52" i="11"/>
  <c r="J54" i="11"/>
  <c r="L52" i="11"/>
  <c r="L54" i="11"/>
  <c r="H58" i="11"/>
  <c r="G58" i="11"/>
  <c r="O57" i="11"/>
  <c r="H56" i="11"/>
  <c r="K53" i="11"/>
  <c r="L56" i="11"/>
  <c r="L53" i="11"/>
  <c r="G56" i="11"/>
  <c r="J53" i="11"/>
  <c r="O55" i="11"/>
  <c r="O58" i="11"/>
  <c r="K55" i="11"/>
  <c r="I53" i="11"/>
  <c r="N55" i="11"/>
  <c r="N58" i="11"/>
  <c r="K56" i="11"/>
  <c r="I54" i="11"/>
  <c r="O56" i="11"/>
  <c r="O53" i="11"/>
  <c r="J56" i="11"/>
  <c r="H54" i="11"/>
  <c r="N56" i="11"/>
  <c r="N53" i="11"/>
  <c r="I56" i="11"/>
  <c r="G54" i="11"/>
  <c r="M56" i="11"/>
  <c r="M53" i="11"/>
  <c r="N57" i="11"/>
  <c r="M57" i="11"/>
  <c r="L57" i="11"/>
  <c r="K57" i="11"/>
  <c r="J57" i="11"/>
  <c r="I57" i="11"/>
  <c r="H57" i="11"/>
  <c r="I55" i="11"/>
  <c r="G53" i="11"/>
  <c r="L55" i="11"/>
  <c r="L58" i="11"/>
  <c r="H52" i="11"/>
  <c r="H55" i="11"/>
  <c r="O52" i="11"/>
  <c r="O54" i="11"/>
  <c r="K58" i="11"/>
  <c r="K52" i="11"/>
  <c r="G55" i="11"/>
  <c r="N52" i="11"/>
  <c r="N54" i="11"/>
  <c r="J58" i="11"/>
  <c r="G57" i="11"/>
  <c r="E36" i="11"/>
  <c r="B55" i="11"/>
  <c r="B48" i="11" s="1"/>
  <c r="B49" i="11"/>
  <c r="D62" i="11"/>
  <c r="E62" i="11"/>
  <c r="E61" i="11"/>
  <c r="D61" i="11"/>
  <c r="C61" i="11"/>
  <c r="C63" i="11"/>
  <c r="C65" i="11" s="1"/>
  <c r="D63" i="11"/>
  <c r="D65" i="11" s="1"/>
  <c r="E63" i="11"/>
  <c r="E65" i="11" s="1"/>
  <c r="E36" i="9"/>
  <c r="D36" i="9"/>
  <c r="C36" i="9"/>
  <c r="B36" i="9"/>
  <c r="B28" i="9"/>
  <c r="B33" i="9" s="1"/>
  <c r="B25" i="9"/>
  <c r="B27" i="9" s="1"/>
  <c r="C32" i="9" s="1"/>
  <c r="E31" i="7"/>
  <c r="D31" i="7"/>
  <c r="C31" i="7"/>
  <c r="B31" i="7"/>
  <c r="B23" i="7"/>
  <c r="B28" i="7" s="1"/>
  <c r="B30" i="7" s="1"/>
  <c r="B20" i="7"/>
  <c r="B22" i="7" s="1"/>
  <c r="C61" i="14" l="1"/>
  <c r="C67" i="14" s="1"/>
  <c r="D61" i="14"/>
  <c r="D67" i="14" s="1"/>
  <c r="E59" i="14"/>
  <c r="E65" i="14" s="1"/>
  <c r="D59" i="14"/>
  <c r="D65" i="14" s="1"/>
  <c r="C59" i="14"/>
  <c r="C65" i="14" s="1"/>
  <c r="D60" i="14"/>
  <c r="D66" i="14" s="1"/>
  <c r="C60" i="14"/>
  <c r="C66" i="14" s="1"/>
  <c r="E60" i="14"/>
  <c r="E66" i="14" s="1"/>
  <c r="B56" i="14"/>
  <c r="B55" i="14"/>
  <c r="D80" i="12"/>
  <c r="D85" i="12" s="1"/>
  <c r="C80" i="12"/>
  <c r="C85" i="12" s="1"/>
  <c r="C81" i="12"/>
  <c r="C86" i="12" s="1"/>
  <c r="D81" i="12"/>
  <c r="D86" i="12" s="1"/>
  <c r="C72" i="11"/>
  <c r="B34" i="9"/>
  <c r="B35" i="9"/>
  <c r="B37" i="9" s="1"/>
  <c r="E32" i="9"/>
  <c r="E34" i="9" s="1"/>
  <c r="D32" i="9"/>
  <c r="D34" i="9" s="1"/>
  <c r="C34" i="9"/>
  <c r="B26" i="9"/>
  <c r="B32" i="7"/>
  <c r="E27" i="7"/>
  <c r="E29" i="7" s="1"/>
  <c r="C27" i="7"/>
  <c r="C29" i="7" s="1"/>
  <c r="D27" i="7"/>
  <c r="D29" i="7" s="1"/>
  <c r="B21" i="7"/>
  <c r="B29" i="7"/>
  <c r="B11" i="6"/>
  <c r="C11" i="6"/>
  <c r="D11" i="6"/>
  <c r="E11" i="6"/>
  <c r="C12" i="6"/>
  <c r="D12" i="6"/>
  <c r="E12" i="6"/>
  <c r="B13" i="6"/>
  <c r="E14" i="6"/>
  <c r="B15" i="6"/>
  <c r="C15" i="6"/>
  <c r="D15" i="6"/>
  <c r="E15" i="6"/>
  <c r="B71" i="14" l="1"/>
  <c r="C926" i="14"/>
  <c r="C782" i="14"/>
  <c r="C638" i="14"/>
  <c r="C494" i="14"/>
  <c r="C350" i="14"/>
  <c r="C206" i="14"/>
  <c r="C1057" i="14"/>
  <c r="C913" i="14"/>
  <c r="C769" i="14"/>
  <c r="C625" i="14"/>
  <c r="C481" i="14"/>
  <c r="C337" i="14"/>
  <c r="C193" i="14"/>
  <c r="C1044" i="14"/>
  <c r="C900" i="14"/>
  <c r="C756" i="14"/>
  <c r="C612" i="14"/>
  <c r="C468" i="14"/>
  <c r="C324" i="14"/>
  <c r="C180" i="14"/>
  <c r="C1031" i="14"/>
  <c r="C887" i="14"/>
  <c r="C743" i="14"/>
  <c r="C599" i="14"/>
  <c r="C443" i="14"/>
  <c r="C299" i="14"/>
  <c r="C155" i="14"/>
  <c r="C1006" i="14"/>
  <c r="C862" i="14"/>
  <c r="C718" i="14"/>
  <c r="C574" i="14"/>
  <c r="C430" i="14"/>
  <c r="C286" i="14"/>
  <c r="C142" i="14"/>
  <c r="C1005" i="14"/>
  <c r="C861" i="14"/>
  <c r="C717" i="14"/>
  <c r="C561" i="14"/>
  <c r="C417" i="14"/>
  <c r="C273" i="14"/>
  <c r="C129" i="14"/>
  <c r="C992" i="14"/>
  <c r="C848" i="14"/>
  <c r="C704" i="14"/>
  <c r="C560" i="14"/>
  <c r="C416" i="14"/>
  <c r="C272" i="14"/>
  <c r="C128" i="14"/>
  <c r="C991" i="14"/>
  <c r="C847" i="14"/>
  <c r="C703" i="14"/>
  <c r="C559" i="14"/>
  <c r="C415" i="14"/>
  <c r="C271" i="14"/>
  <c r="C1071" i="14"/>
  <c r="C927" i="14"/>
  <c r="C783" i="14"/>
  <c r="C639" i="14"/>
  <c r="C495" i="14"/>
  <c r="C351" i="14"/>
  <c r="C207" i="14"/>
  <c r="C1058" i="14"/>
  <c r="C914" i="14"/>
  <c r="C770" i="14"/>
  <c r="C626" i="14"/>
  <c r="C482" i="14"/>
  <c r="C338" i="14"/>
  <c r="C194" i="14"/>
  <c r="C1045" i="14"/>
  <c r="C901" i="14"/>
  <c r="C757" i="14"/>
  <c r="C613" i="14"/>
  <c r="C469" i="14"/>
  <c r="C325" i="14"/>
  <c r="C181" i="14"/>
  <c r="C1032" i="14"/>
  <c r="C888" i="14"/>
  <c r="C744" i="14"/>
  <c r="C600" i="14"/>
  <c r="C456" i="14"/>
  <c r="C312" i="14"/>
  <c r="C168" i="14"/>
  <c r="C1019" i="14"/>
  <c r="C875" i="14"/>
  <c r="C731" i="14"/>
  <c r="C587" i="14"/>
  <c r="C431" i="14"/>
  <c r="C287" i="14"/>
  <c r="C143" i="14"/>
  <c r="C994" i="14"/>
  <c r="C850" i="14"/>
  <c r="C706" i="14"/>
  <c r="C562" i="14"/>
  <c r="C418" i="14"/>
  <c r="C274" i="14"/>
  <c r="C130" i="14"/>
  <c r="C993" i="14"/>
  <c r="C849" i="14"/>
  <c r="C705" i="14"/>
  <c r="C549" i="14"/>
  <c r="C405" i="14"/>
  <c r="C261" i="14"/>
  <c r="C117" i="14"/>
  <c r="C980" i="14"/>
  <c r="C836" i="14"/>
  <c r="C692" i="14"/>
  <c r="C548" i="14"/>
  <c r="C404" i="14"/>
  <c r="C260" i="14"/>
  <c r="C116" i="14"/>
  <c r="C979" i="14"/>
  <c r="C835" i="14"/>
  <c r="C691" i="14"/>
  <c r="C547" i="14"/>
  <c r="C403" i="14"/>
  <c r="C259" i="14"/>
  <c r="C115" i="14"/>
  <c r="C978" i="14"/>
  <c r="C834" i="14"/>
  <c r="C690" i="14"/>
  <c r="C546" i="14"/>
  <c r="C402" i="14"/>
  <c r="C258" i="14"/>
  <c r="C114" i="14"/>
  <c r="C965" i="14"/>
  <c r="C821" i="14"/>
  <c r="C677" i="14"/>
  <c r="C533" i="14"/>
  <c r="C389" i="14"/>
  <c r="C245" i="14"/>
  <c r="C101" i="14"/>
  <c r="C952" i="14"/>
  <c r="C808" i="14"/>
  <c r="C664" i="14"/>
  <c r="C520" i="14"/>
  <c r="C376" i="14"/>
  <c r="C232" i="14"/>
  <c r="C221" i="14"/>
  <c r="C784" i="14"/>
  <c r="C1059" i="14"/>
  <c r="C915" i="14"/>
  <c r="C771" i="14"/>
  <c r="C627" i="14"/>
  <c r="C483" i="14"/>
  <c r="C339" i="14"/>
  <c r="C195" i="14"/>
  <c r="C1046" i="14"/>
  <c r="C902" i="14"/>
  <c r="C758" i="14"/>
  <c r="C614" i="14"/>
  <c r="C470" i="14"/>
  <c r="C326" i="14"/>
  <c r="C182" i="14"/>
  <c r="C1033" i="14"/>
  <c r="C889" i="14"/>
  <c r="C745" i="14"/>
  <c r="C601" i="14"/>
  <c r="C457" i="14"/>
  <c r="C313" i="14"/>
  <c r="C169" i="14"/>
  <c r="C1020" i="14"/>
  <c r="C876" i="14"/>
  <c r="C732" i="14"/>
  <c r="C588" i="14"/>
  <c r="C444" i="14"/>
  <c r="C300" i="14"/>
  <c r="C156" i="14"/>
  <c r="C1007" i="14"/>
  <c r="C863" i="14"/>
  <c r="C719" i="14"/>
  <c r="C563" i="14"/>
  <c r="C419" i="14"/>
  <c r="C275" i="14"/>
  <c r="C131" i="14"/>
  <c r="C982" i="14"/>
  <c r="C838" i="14"/>
  <c r="C694" i="14"/>
  <c r="C550" i="14"/>
  <c r="C406" i="14"/>
  <c r="C262" i="14"/>
  <c r="C118" i="14"/>
  <c r="C981" i="14"/>
  <c r="C837" i="14"/>
  <c r="C693" i="14"/>
  <c r="C537" i="14"/>
  <c r="C393" i="14"/>
  <c r="C249" i="14"/>
  <c r="C105" i="14"/>
  <c r="C968" i="14"/>
  <c r="C824" i="14"/>
  <c r="C680" i="14"/>
  <c r="C536" i="14"/>
  <c r="C392" i="14"/>
  <c r="C248" i="14"/>
  <c r="C104" i="14"/>
  <c r="C967" i="14"/>
  <c r="C823" i="14"/>
  <c r="C679" i="14"/>
  <c r="C535" i="14"/>
  <c r="C391" i="14"/>
  <c r="C247" i="14"/>
  <c r="C103" i="14"/>
  <c r="C966" i="14"/>
  <c r="C822" i="14"/>
  <c r="C678" i="14"/>
  <c r="C534" i="14"/>
  <c r="C390" i="14"/>
  <c r="C246" i="14"/>
  <c r="C102" i="14"/>
  <c r="C953" i="14"/>
  <c r="C809" i="14"/>
  <c r="C665" i="14"/>
  <c r="C521" i="14"/>
  <c r="C377" i="14"/>
  <c r="C233" i="14"/>
  <c r="C1084" i="14"/>
  <c r="C940" i="14"/>
  <c r="C796" i="14"/>
  <c r="C652" i="14"/>
  <c r="C508" i="14"/>
  <c r="C364" i="14"/>
  <c r="C220" i="14"/>
  <c r="C1047" i="14"/>
  <c r="C903" i="14"/>
  <c r="C759" i="14"/>
  <c r="C615" i="14"/>
  <c r="C471" i="14"/>
  <c r="C327" i="14"/>
  <c r="C183" i="14"/>
  <c r="C1034" i="14"/>
  <c r="C890" i="14"/>
  <c r="C746" i="14"/>
  <c r="C602" i="14"/>
  <c r="C458" i="14"/>
  <c r="C314" i="14"/>
  <c r="C170" i="14"/>
  <c r="C1021" i="14"/>
  <c r="C877" i="14"/>
  <c r="C733" i="14"/>
  <c r="C589" i="14"/>
  <c r="C445" i="14"/>
  <c r="C301" i="14"/>
  <c r="C157" i="14"/>
  <c r="C1008" i="14"/>
  <c r="C864" i="14"/>
  <c r="C720" i="14"/>
  <c r="C576" i="14"/>
  <c r="C432" i="14"/>
  <c r="C288" i="14"/>
  <c r="C144" i="14"/>
  <c r="C995" i="14"/>
  <c r="C851" i="14"/>
  <c r="C707" i="14"/>
  <c r="C551" i="14"/>
  <c r="C407" i="14"/>
  <c r="C263" i="14"/>
  <c r="C119" i="14"/>
  <c r="C970" i="14"/>
  <c r="C826" i="14"/>
  <c r="C682" i="14"/>
  <c r="C538" i="14"/>
  <c r="C394" i="14"/>
  <c r="C250" i="14"/>
  <c r="C106" i="14"/>
  <c r="C969" i="14"/>
  <c r="C825" i="14"/>
  <c r="C681" i="14"/>
  <c r="C525" i="14"/>
  <c r="C381" i="14"/>
  <c r="C237" i="14"/>
  <c r="C93" i="14"/>
  <c r="C956" i="14"/>
  <c r="C812" i="14"/>
  <c r="C668" i="14"/>
  <c r="C524" i="14"/>
  <c r="C380" i="14"/>
  <c r="C236" i="14"/>
  <c r="C92" i="14"/>
  <c r="C955" i="14"/>
  <c r="C811" i="14"/>
  <c r="C667" i="14"/>
  <c r="C523" i="14"/>
  <c r="C379" i="14"/>
  <c r="C235" i="14"/>
  <c r="C91" i="14"/>
  <c r="C954" i="14"/>
  <c r="C810" i="14"/>
  <c r="C666" i="14"/>
  <c r="C522" i="14"/>
  <c r="C378" i="14"/>
  <c r="C234" i="14"/>
  <c r="C1085" i="14"/>
  <c r="C941" i="14"/>
  <c r="C797" i="14"/>
  <c r="C653" i="14"/>
  <c r="C509" i="14"/>
  <c r="C365" i="14"/>
  <c r="C1072" i="14"/>
  <c r="C928" i="14"/>
  <c r="C640" i="14"/>
  <c r="C352" i="14"/>
  <c r="C208" i="14"/>
  <c r="C1035" i="14"/>
  <c r="C891" i="14"/>
  <c r="C747" i="14"/>
  <c r="C603" i="14"/>
  <c r="C459" i="14"/>
  <c r="C315" i="14"/>
  <c r="C171" i="14"/>
  <c r="C1022" i="14"/>
  <c r="C878" i="14"/>
  <c r="C734" i="14"/>
  <c r="C590" i="14"/>
  <c r="C446" i="14"/>
  <c r="C302" i="14"/>
  <c r="C158" i="14"/>
  <c r="C1009" i="14"/>
  <c r="C865" i="14"/>
  <c r="C721" i="14"/>
  <c r="C577" i="14"/>
  <c r="C433" i="14"/>
  <c r="C289" i="14"/>
  <c r="C145" i="14"/>
  <c r="C996" i="14"/>
  <c r="C852" i="14"/>
  <c r="C708" i="14"/>
  <c r="C564" i="14"/>
  <c r="C420" i="14"/>
  <c r="C276" i="14"/>
  <c r="C132" i="14"/>
  <c r="C983" i="14"/>
  <c r="C839" i="14"/>
  <c r="C695" i="14"/>
  <c r="C539" i="14"/>
  <c r="C395" i="14"/>
  <c r="C251" i="14"/>
  <c r="C107" i="14"/>
  <c r="C958" i="14"/>
  <c r="C814" i="14"/>
  <c r="C670" i="14"/>
  <c r="C526" i="14"/>
  <c r="C382" i="14"/>
  <c r="C238" i="14"/>
  <c r="C94" i="14"/>
  <c r="C957" i="14"/>
  <c r="C813" i="14"/>
  <c r="C657" i="14"/>
  <c r="C513" i="14"/>
  <c r="C369" i="14"/>
  <c r="C225" i="14"/>
  <c r="C1088" i="14"/>
  <c r="C944" i="14"/>
  <c r="C800" i="14"/>
  <c r="C656" i="14"/>
  <c r="C512" i="14"/>
  <c r="C368" i="14"/>
  <c r="C224" i="14"/>
  <c r="C1087" i="14"/>
  <c r="C943" i="14"/>
  <c r="C799" i="14"/>
  <c r="C655" i="14"/>
  <c r="C511" i="14"/>
  <c r="C367" i="14"/>
  <c r="C223" i="14"/>
  <c r="C1086" i="14"/>
  <c r="C1023" i="14"/>
  <c r="C879" i="14"/>
  <c r="C735" i="14"/>
  <c r="C591" i="14"/>
  <c r="C447" i="14"/>
  <c r="C303" i="14"/>
  <c r="C159" i="14"/>
  <c r="C1010" i="14"/>
  <c r="C866" i="14"/>
  <c r="C722" i="14"/>
  <c r="C578" i="14"/>
  <c r="C434" i="14"/>
  <c r="C290" i="14"/>
  <c r="C146" i="14"/>
  <c r="C997" i="14"/>
  <c r="C853" i="14"/>
  <c r="C709" i="14"/>
  <c r="C565" i="14"/>
  <c r="C421" i="14"/>
  <c r="C277" i="14"/>
  <c r="C133" i="14"/>
  <c r="C984" i="14"/>
  <c r="C840" i="14"/>
  <c r="C696" i="14"/>
  <c r="C552" i="14"/>
  <c r="C408" i="14"/>
  <c r="C264" i="14"/>
  <c r="C120" i="14"/>
  <c r="C971" i="14"/>
  <c r="C827" i="14"/>
  <c r="C683" i="14"/>
  <c r="C527" i="14"/>
  <c r="C383" i="14"/>
  <c r="C239" i="14"/>
  <c r="C95" i="14"/>
  <c r="C946" i="14"/>
  <c r="C802" i="14"/>
  <c r="C658" i="14"/>
  <c r="C514" i="14"/>
  <c r="C370" i="14"/>
  <c r="C226" i="14"/>
  <c r="C1089" i="14"/>
  <c r="C945" i="14"/>
  <c r="C801" i="14"/>
  <c r="C645" i="14"/>
  <c r="C501" i="14"/>
  <c r="C357" i="14"/>
  <c r="C213" i="14"/>
  <c r="C1076" i="14"/>
  <c r="C932" i="14"/>
  <c r="C788" i="14"/>
  <c r="C644" i="14"/>
  <c r="C500" i="14"/>
  <c r="C356" i="14"/>
  <c r="C212" i="14"/>
  <c r="C1075" i="14"/>
  <c r="C931" i="14"/>
  <c r="C787" i="14"/>
  <c r="C643" i="14"/>
  <c r="C499" i="14"/>
  <c r="C355" i="14"/>
  <c r="C211" i="14"/>
  <c r="C1074" i="14"/>
  <c r="C1011" i="14"/>
  <c r="C867" i="14"/>
  <c r="C723" i="14"/>
  <c r="C579" i="14"/>
  <c r="C435" i="14"/>
  <c r="C291" i="14"/>
  <c r="C147" i="14"/>
  <c r="C998" i="14"/>
  <c r="C854" i="14"/>
  <c r="C710" i="14"/>
  <c r="C566" i="14"/>
  <c r="C422" i="14"/>
  <c r="C278" i="14"/>
  <c r="C134" i="14"/>
  <c r="C985" i="14"/>
  <c r="C841" i="14"/>
  <c r="C697" i="14"/>
  <c r="C553" i="14"/>
  <c r="C409" i="14"/>
  <c r="C265" i="14"/>
  <c r="C121" i="14"/>
  <c r="C972" i="14"/>
  <c r="C828" i="14"/>
  <c r="C684" i="14"/>
  <c r="C540" i="14"/>
  <c r="C396" i="14"/>
  <c r="C252" i="14"/>
  <c r="C108" i="14"/>
  <c r="C959" i="14"/>
  <c r="C815" i="14"/>
  <c r="C671" i="14"/>
  <c r="C515" i="14"/>
  <c r="C371" i="14"/>
  <c r="C227" i="14"/>
  <c r="C1078" i="14"/>
  <c r="C934" i="14"/>
  <c r="C790" i="14"/>
  <c r="C646" i="14"/>
  <c r="C502" i="14"/>
  <c r="C358" i="14"/>
  <c r="C214" i="14"/>
  <c r="C1077" i="14"/>
  <c r="C933" i="14"/>
  <c r="C789" i="14"/>
  <c r="C633" i="14"/>
  <c r="C489" i="14"/>
  <c r="C345" i="14"/>
  <c r="C201" i="14"/>
  <c r="C1064" i="14"/>
  <c r="C999" i="14"/>
  <c r="C855" i="14"/>
  <c r="C711" i="14"/>
  <c r="C567" i="14"/>
  <c r="C423" i="14"/>
  <c r="C279" i="14"/>
  <c r="C135" i="14"/>
  <c r="C986" i="14"/>
  <c r="C842" i="14"/>
  <c r="C698" i="14"/>
  <c r="C554" i="14"/>
  <c r="C410" i="14"/>
  <c r="C266" i="14"/>
  <c r="C122" i="14"/>
  <c r="C973" i="14"/>
  <c r="C829" i="14"/>
  <c r="C685" i="14"/>
  <c r="C541" i="14"/>
  <c r="C397" i="14"/>
  <c r="C253" i="14"/>
  <c r="C109" i="14"/>
  <c r="C960" i="14"/>
  <c r="C816" i="14"/>
  <c r="C672" i="14"/>
  <c r="C528" i="14"/>
  <c r="C384" i="14"/>
  <c r="C240" i="14"/>
  <c r="C96" i="14"/>
  <c r="C947" i="14"/>
  <c r="C803" i="14"/>
  <c r="C659" i="14"/>
  <c r="C503" i="14"/>
  <c r="C359" i="14"/>
  <c r="C215" i="14"/>
  <c r="C1066" i="14"/>
  <c r="C922" i="14"/>
  <c r="C778" i="14"/>
  <c r="C634" i="14"/>
  <c r="C987" i="14"/>
  <c r="C843" i="14"/>
  <c r="C699" i="14"/>
  <c r="C555" i="14"/>
  <c r="C411" i="14"/>
  <c r="C267" i="14"/>
  <c r="C123" i="14"/>
  <c r="C974" i="14"/>
  <c r="C830" i="14"/>
  <c r="C686" i="14"/>
  <c r="C542" i="14"/>
  <c r="C398" i="14"/>
  <c r="C254" i="14"/>
  <c r="C110" i="14"/>
  <c r="C961" i="14"/>
  <c r="C817" i="14"/>
  <c r="C673" i="14"/>
  <c r="C529" i="14"/>
  <c r="C385" i="14"/>
  <c r="C241" i="14"/>
  <c r="C97" i="14"/>
  <c r="C948" i="14"/>
  <c r="C804" i="14"/>
  <c r="C660" i="14"/>
  <c r="C516" i="14"/>
  <c r="C372" i="14"/>
  <c r="C228" i="14"/>
  <c r="C1079" i="14"/>
  <c r="C935" i="14"/>
  <c r="C791" i="14"/>
  <c r="C647" i="14"/>
  <c r="C491" i="14"/>
  <c r="C347" i="14"/>
  <c r="C203" i="14"/>
  <c r="C1054" i="14"/>
  <c r="C910" i="14"/>
  <c r="C766" i="14"/>
  <c r="C622" i="14"/>
  <c r="C478" i="14"/>
  <c r="C334" i="14"/>
  <c r="C190" i="14"/>
  <c r="C975" i="14"/>
  <c r="C831" i="14"/>
  <c r="C687" i="14"/>
  <c r="C543" i="14"/>
  <c r="C399" i="14"/>
  <c r="C255" i="14"/>
  <c r="C111" i="14"/>
  <c r="C962" i="14"/>
  <c r="C818" i="14"/>
  <c r="C674" i="14"/>
  <c r="C530" i="14"/>
  <c r="C386" i="14"/>
  <c r="C242" i="14"/>
  <c r="C98" i="14"/>
  <c r="C949" i="14"/>
  <c r="C805" i="14"/>
  <c r="C661" i="14"/>
  <c r="C517" i="14"/>
  <c r="C373" i="14"/>
  <c r="C963" i="14"/>
  <c r="C99" i="14"/>
  <c r="C230" i="14"/>
  <c r="C361" i="14"/>
  <c r="C780" i="14"/>
  <c r="C204" i="14"/>
  <c r="C623" i="14"/>
  <c r="C1030" i="14"/>
  <c r="C466" i="14"/>
  <c r="C1053" i="14"/>
  <c r="C741" i="14"/>
  <c r="C333" i="14"/>
  <c r="C1028" i="14"/>
  <c r="C740" i="14"/>
  <c r="C452" i="14"/>
  <c r="C164" i="14"/>
  <c r="C883" i="14"/>
  <c r="C595" i="14"/>
  <c r="C307" i="14"/>
  <c r="C1038" i="14"/>
  <c r="C858" i="14"/>
  <c r="C642" i="14"/>
  <c r="C462" i="14"/>
  <c r="C282" i="14"/>
  <c r="C1061" i="14"/>
  <c r="C881" i="14"/>
  <c r="C701" i="14"/>
  <c r="C485" i="14"/>
  <c r="C305" i="14"/>
  <c r="C125" i="14"/>
  <c r="C904" i="14"/>
  <c r="C724" i="14"/>
  <c r="C544" i="14"/>
  <c r="C340" i="14"/>
  <c r="C160" i="14"/>
  <c r="C583" i="14"/>
  <c r="C1026" i="14"/>
  <c r="C846" i="14"/>
  <c r="C450" i="14"/>
  <c r="C270" i="14"/>
  <c r="C1049" i="14"/>
  <c r="C869" i="14"/>
  <c r="C473" i="14"/>
  <c r="C293" i="14"/>
  <c r="C113" i="14"/>
  <c r="C892" i="14"/>
  <c r="C712" i="14"/>
  <c r="C532" i="14"/>
  <c r="C148" i="14"/>
  <c r="C1014" i="14"/>
  <c r="C222" i="14"/>
  <c r="C857" i="14"/>
  <c r="C641" i="14"/>
  <c r="C461" i="14"/>
  <c r="C1060" i="14"/>
  <c r="C880" i="14"/>
  <c r="C700" i="14"/>
  <c r="C496" i="14"/>
  <c r="C136" i="14"/>
  <c r="C925" i="14"/>
  <c r="C335" i="14"/>
  <c r="C585" i="14"/>
  <c r="C1039" i="14"/>
  <c r="C942" i="14"/>
  <c r="C582" i="14"/>
  <c r="C785" i="14"/>
  <c r="C844" i="14"/>
  <c r="C280" i="14"/>
  <c r="C531" i="14"/>
  <c r="C911" i="14"/>
  <c r="C742" i="14"/>
  <c r="C573" i="14"/>
  <c r="C884" i="14"/>
  <c r="C1027" i="14"/>
  <c r="C451" i="14"/>
  <c r="C570" i="14"/>
  <c r="C989" i="14"/>
  <c r="C413" i="14"/>
  <c r="C448" i="14"/>
  <c r="C781" i="14"/>
  <c r="C202" i="14"/>
  <c r="C872" i="14"/>
  <c r="C1015" i="14"/>
  <c r="C738" i="14"/>
  <c r="C162" i="14"/>
  <c r="C951" i="14"/>
  <c r="C1082" i="14"/>
  <c r="C218" i="14"/>
  <c r="C349" i="14"/>
  <c r="C768" i="14"/>
  <c r="C192" i="14"/>
  <c r="C611" i="14"/>
  <c r="C1018" i="14"/>
  <c r="C454" i="14"/>
  <c r="C1041" i="14"/>
  <c r="C729" i="14"/>
  <c r="C321" i="14"/>
  <c r="C1016" i="14"/>
  <c r="C728" i="14"/>
  <c r="C440" i="14"/>
  <c r="C152" i="14"/>
  <c r="C871" i="14"/>
  <c r="C295" i="14"/>
  <c r="C630" i="14"/>
  <c r="C689" i="14"/>
  <c r="C328" i="14"/>
  <c r="C316" i="14"/>
  <c r="C663" i="14"/>
  <c r="C189" i="14"/>
  <c r="C463" i="14"/>
  <c r="C186" i="14"/>
  <c r="C1024" i="14"/>
  <c r="C819" i="14"/>
  <c r="C950" i="14"/>
  <c r="C1081" i="14"/>
  <c r="C229" i="14"/>
  <c r="C648" i="14"/>
  <c r="C1067" i="14"/>
  <c r="C479" i="14"/>
  <c r="C898" i="14"/>
  <c r="C442" i="14"/>
  <c r="C1029" i="14"/>
  <c r="C621" i="14"/>
  <c r="C309" i="14"/>
  <c r="C1004" i="14"/>
  <c r="C716" i="14"/>
  <c r="C428" i="14"/>
  <c r="C140" i="14"/>
  <c r="C859" i="14"/>
  <c r="C571" i="14"/>
  <c r="C283" i="14"/>
  <c r="C798" i="14"/>
  <c r="C618" i="14"/>
  <c r="C438" i="14"/>
  <c r="C1037" i="14"/>
  <c r="C281" i="14"/>
  <c r="C754" i="14"/>
  <c r="C425" i="14"/>
  <c r="C1068" i="14"/>
  <c r="C930" i="14"/>
  <c r="C832" i="14"/>
  <c r="C1056" i="14"/>
  <c r="C439" i="14"/>
  <c r="C761" i="14"/>
  <c r="C807" i="14"/>
  <c r="C938" i="14"/>
  <c r="C1069" i="14"/>
  <c r="C217" i="14"/>
  <c r="C636" i="14"/>
  <c r="C1055" i="14"/>
  <c r="C467" i="14"/>
  <c r="C886" i="14"/>
  <c r="C346" i="14"/>
  <c r="C1017" i="14"/>
  <c r="C609" i="14"/>
  <c r="C297" i="14"/>
  <c r="C920" i="14"/>
  <c r="C632" i="14"/>
  <c r="C344" i="14"/>
  <c r="C1063" i="14"/>
  <c r="C775" i="14"/>
  <c r="C487" i="14"/>
  <c r="C199" i="14"/>
  <c r="C1002" i="14"/>
  <c r="C786" i="14"/>
  <c r="C606" i="14"/>
  <c r="C426" i="14"/>
  <c r="C210" i="14"/>
  <c r="C1025" i="14"/>
  <c r="C845" i="14"/>
  <c r="C629" i="14"/>
  <c r="C449" i="14"/>
  <c r="C269" i="14"/>
  <c r="C1048" i="14"/>
  <c r="C868" i="14"/>
  <c r="C688" i="14"/>
  <c r="C484" i="14"/>
  <c r="C304" i="14"/>
  <c r="C124" i="14"/>
  <c r="C472" i="14"/>
  <c r="C112" i="14"/>
  <c r="C794" i="14"/>
  <c r="C896" i="14"/>
  <c r="C175" i="14"/>
  <c r="C1001" i="14"/>
  <c r="C628" i="14"/>
  <c r="C793" i="14"/>
  <c r="C897" i="14"/>
  <c r="C308" i="14"/>
  <c r="C354" i="14"/>
  <c r="C593" i="14"/>
  <c r="C616" i="14"/>
  <c r="C519" i="14"/>
  <c r="C899" i="14"/>
  <c r="C311" i="14"/>
  <c r="C730" i="14"/>
  <c r="C477" i="14"/>
  <c r="C165" i="14"/>
  <c r="C296" i="14"/>
  <c r="C918" i="14"/>
  <c r="C558" i="14"/>
  <c r="C581" i="14"/>
  <c r="C675" i="14"/>
  <c r="C806" i="14"/>
  <c r="C937" i="14"/>
  <c r="C205" i="14"/>
  <c r="C624" i="14"/>
  <c r="C1043" i="14"/>
  <c r="C455" i="14"/>
  <c r="C874" i="14"/>
  <c r="C322" i="14"/>
  <c r="C921" i="14"/>
  <c r="C597" i="14"/>
  <c r="C285" i="14"/>
  <c r="C908" i="14"/>
  <c r="C620" i="14"/>
  <c r="C332" i="14"/>
  <c r="C1051" i="14"/>
  <c r="C763" i="14"/>
  <c r="C475" i="14"/>
  <c r="C187" i="14"/>
  <c r="C990" i="14"/>
  <c r="C774" i="14"/>
  <c r="C594" i="14"/>
  <c r="C414" i="14"/>
  <c r="C198" i="14"/>
  <c r="C1013" i="14"/>
  <c r="C833" i="14"/>
  <c r="C617" i="14"/>
  <c r="C437" i="14"/>
  <c r="C257" i="14"/>
  <c r="C1036" i="14"/>
  <c r="C856" i="14"/>
  <c r="C676" i="14"/>
  <c r="C292" i="14"/>
  <c r="C504" i="14"/>
  <c r="C923" i="14"/>
  <c r="C310" i="14"/>
  <c r="C909" i="14"/>
  <c r="C320" i="14"/>
  <c r="C751" i="14"/>
  <c r="C762" i="14"/>
  <c r="C366" i="14"/>
  <c r="C209" i="14"/>
  <c r="C460" i="14"/>
  <c r="C100" i="14"/>
  <c r="C662" i="14"/>
  <c r="C323" i="14"/>
  <c r="C298" i="14"/>
  <c r="C177" i="14"/>
  <c r="C596" i="14"/>
  <c r="C739" i="14"/>
  <c r="C750" i="14"/>
  <c r="C174" i="14"/>
  <c r="C773" i="14"/>
  <c r="C197" i="14"/>
  <c r="C268" i="14"/>
  <c r="C650" i="14"/>
  <c r="C885" i="14"/>
  <c r="C584" i="14"/>
  <c r="C151" i="14"/>
  <c r="C342" i="14"/>
  <c r="C401" i="14"/>
  <c r="C1080" i="14"/>
  <c r="C608" i="14"/>
  <c r="C605" i="14"/>
  <c r="C492" i="14"/>
  <c r="C163" i="14"/>
  <c r="C1012" i="14"/>
  <c r="C480" i="14"/>
  <c r="C727" i="14"/>
  <c r="C977" i="14"/>
  <c r="C375" i="14"/>
  <c r="C506" i="14"/>
  <c r="C637" i="14"/>
  <c r="C924" i="14"/>
  <c r="C348" i="14"/>
  <c r="C767" i="14"/>
  <c r="C179" i="14"/>
  <c r="C598" i="14"/>
  <c r="C166" i="14"/>
  <c r="C777" i="14"/>
  <c r="C453" i="14"/>
  <c r="C141" i="14"/>
  <c r="C776" i="14"/>
  <c r="C488" i="14"/>
  <c r="C200" i="14"/>
  <c r="C919" i="14"/>
  <c r="C631" i="14"/>
  <c r="C343" i="14"/>
  <c r="C127" i="14"/>
  <c r="C894" i="14"/>
  <c r="C714" i="14"/>
  <c r="C498" i="14"/>
  <c r="C318" i="14"/>
  <c r="C138" i="14"/>
  <c r="C917" i="14"/>
  <c r="C737" i="14"/>
  <c r="C557" i="14"/>
  <c r="C341" i="14"/>
  <c r="C161" i="14"/>
  <c r="C976" i="14"/>
  <c r="C760" i="14"/>
  <c r="C580" i="14"/>
  <c r="C412" i="14"/>
  <c r="C196" i="14"/>
  <c r="C231" i="14"/>
  <c r="C792" i="14"/>
  <c r="C635" i="14"/>
  <c r="C490" i="14"/>
  <c r="C753" i="14"/>
  <c r="C1040" i="14"/>
  <c r="C464" i="14"/>
  <c r="C607" i="14"/>
  <c r="C1050" i="14"/>
  <c r="C654" i="14"/>
  <c r="C294" i="14"/>
  <c r="C893" i="14"/>
  <c r="C317" i="14"/>
  <c r="C916" i="14"/>
  <c r="C556" i="14"/>
  <c r="C172" i="14"/>
  <c r="C243" i="14"/>
  <c r="C374" i="14"/>
  <c r="C505" i="14"/>
  <c r="C912" i="14"/>
  <c r="C336" i="14"/>
  <c r="C755" i="14"/>
  <c r="C167" i="14"/>
  <c r="C586" i="14"/>
  <c r="C154" i="14"/>
  <c r="C765" i="14"/>
  <c r="C441" i="14"/>
  <c r="C1052" i="14"/>
  <c r="C764" i="14"/>
  <c r="C476" i="14"/>
  <c r="C188" i="14"/>
  <c r="C907" i="14"/>
  <c r="C619" i="14"/>
  <c r="C331" i="14"/>
  <c r="C1062" i="14"/>
  <c r="C882" i="14"/>
  <c r="C702" i="14"/>
  <c r="C486" i="14"/>
  <c r="C306" i="14"/>
  <c r="C126" i="14"/>
  <c r="C905" i="14"/>
  <c r="C725" i="14"/>
  <c r="C545" i="14"/>
  <c r="C329" i="14"/>
  <c r="C149" i="14"/>
  <c r="C964" i="14"/>
  <c r="C748" i="14"/>
  <c r="C568" i="14"/>
  <c r="C400" i="14"/>
  <c r="C184" i="14"/>
  <c r="C362" i="14"/>
  <c r="C493" i="14"/>
  <c r="C216" i="14"/>
  <c r="C1042" i="14"/>
  <c r="C1065" i="14"/>
  <c r="C429" i="14"/>
  <c r="C752" i="14"/>
  <c r="C176" i="14"/>
  <c r="C895" i="14"/>
  <c r="C319" i="14"/>
  <c r="C870" i="14"/>
  <c r="C474" i="14"/>
  <c r="C1073" i="14"/>
  <c r="C713" i="14"/>
  <c r="C497" i="14"/>
  <c r="C137" i="14"/>
  <c r="C736" i="14"/>
  <c r="C388" i="14"/>
  <c r="C387" i="14"/>
  <c r="C860" i="14"/>
  <c r="C929" i="14"/>
  <c r="C436" i="14"/>
  <c r="C518" i="14"/>
  <c r="C572" i="14"/>
  <c r="C749" i="14"/>
  <c r="C424" i="14"/>
  <c r="C284" i="14"/>
  <c r="C569" i="14"/>
  <c r="C256" i="14"/>
  <c r="C936" i="14"/>
  <c r="C1003" i="14"/>
  <c r="C353" i="14"/>
  <c r="C244" i="14"/>
  <c r="C360" i="14"/>
  <c r="C185" i="14"/>
  <c r="C427" i="14"/>
  <c r="C173" i="14"/>
  <c r="C191" i="14"/>
  <c r="C139" i="14"/>
  <c r="C1000" i="14"/>
  <c r="C906" i="14"/>
  <c r="C178" i="14"/>
  <c r="C510" i="14"/>
  <c r="C465" i="14"/>
  <c r="C592" i="14"/>
  <c r="C649" i="14"/>
  <c r="C779" i="14"/>
  <c r="C610" i="14"/>
  <c r="C988" i="14"/>
  <c r="C873" i="14"/>
  <c r="C604" i="14"/>
  <c r="C150" i="14"/>
  <c r="C820" i="14"/>
  <c r="C153" i="14"/>
  <c r="C715" i="14"/>
  <c r="C726" i="14"/>
  <c r="C330" i="14"/>
  <c r="C772" i="14"/>
  <c r="H92" i="14"/>
  <c r="B69" i="14"/>
  <c r="B70" i="14"/>
  <c r="B89" i="12"/>
  <c r="E40" i="12" s="1"/>
  <c r="B90" i="12"/>
  <c r="F40" i="12" s="1"/>
  <c r="E31" i="9"/>
  <c r="E35" i="9" s="1"/>
  <c r="E37" i="9" s="1"/>
  <c r="D31" i="9"/>
  <c r="D35" i="9" s="1"/>
  <c r="D37" i="9" s="1"/>
  <c r="C31" i="9"/>
  <c r="C35" i="9" s="1"/>
  <c r="C37" i="9" s="1"/>
  <c r="E26" i="7"/>
  <c r="E30" i="7" s="1"/>
  <c r="E32" i="7" s="1"/>
  <c r="D26" i="7"/>
  <c r="D30" i="7" s="1"/>
  <c r="D32" i="7" s="1"/>
  <c r="C26" i="7"/>
  <c r="C30" i="7" s="1"/>
  <c r="C32" i="7" s="1"/>
  <c r="E16" i="6"/>
  <c r="D14" i="6"/>
  <c r="D16" i="6" s="1"/>
  <c r="C14" i="6"/>
  <c r="C16" i="6" s="1"/>
  <c r="B14" i="6"/>
  <c r="B16" i="6" s="1"/>
  <c r="C575" i="14" l="1"/>
  <c r="F37" i="14"/>
  <c r="C1070" i="14"/>
  <c r="C219" i="14"/>
  <c r="B1098" i="14" s="1"/>
  <c r="C363" i="14"/>
  <c r="B1099" i="14" s="1"/>
  <c r="C507" i="14"/>
  <c r="C651" i="14"/>
  <c r="C795" i="14"/>
  <c r="C939" i="14"/>
  <c r="C1083" i="14"/>
  <c r="C90" i="14"/>
  <c r="C669" i="14"/>
  <c r="B73" i="14"/>
  <c r="B39" i="9"/>
  <c r="E15" i="9" s="1"/>
  <c r="G40" i="12"/>
  <c r="B93" i="12"/>
  <c r="B34" i="7"/>
  <c r="E18" i="6"/>
  <c r="B1097" i="14" l="1"/>
  <c r="B1096" i="14"/>
  <c r="B1100" i="14"/>
</calcChain>
</file>

<file path=xl/sharedStrings.xml><?xml version="1.0" encoding="utf-8"?>
<sst xmlns="http://schemas.openxmlformats.org/spreadsheetml/2006/main" count="193" uniqueCount="138">
  <si>
    <t>On-Prem Refresh CapEx (Year 0)</t>
  </si>
  <si>
    <t>On-Prem Annual OpEx</t>
  </si>
  <si>
    <t>Migration Cost (Year 0)</t>
  </si>
  <si>
    <t>Discount Rate</t>
  </si>
  <si>
    <t>Year</t>
  </si>
  <si>
    <t>Cloud Migration NPV Business Case (USD)</t>
  </si>
  <si>
    <t>Inputs</t>
  </si>
  <si>
    <t>Azure Cost</t>
  </si>
  <si>
    <t>Migration Cost</t>
  </si>
  <si>
    <t>Net Cash Flow</t>
  </si>
  <si>
    <t>Discount Factor</t>
  </si>
  <si>
    <t>Present Value</t>
  </si>
  <si>
    <t>NPV</t>
  </si>
  <si>
    <t>Azure Annual Cost</t>
  </si>
  <si>
    <t>Avoided On-Prem Cost</t>
  </si>
  <si>
    <t>Migrating to Azure avoids a $500K refresh, costs $300K to migrate, and is roughly cost-neutral in OpEx, yielding ~$198K net benefit over 3 years.</t>
  </si>
  <si>
    <t>Conclusion</t>
  </si>
  <si>
    <t>Reserved Instances vs Pay-As-You-Go (FinOps Optimization)</t>
  </si>
  <si>
    <t>Number of VMs</t>
  </si>
  <si>
    <t>Hours per Month</t>
  </si>
  <si>
    <t>Pay-As-You-Go Rate ($/VM/hr)</t>
  </si>
  <si>
    <t>Reserved Rate ($/VM/hr)</t>
  </si>
  <si>
    <t>RI Upfront Cost (per VM)</t>
  </si>
  <si>
    <t>RI Term (Years)</t>
  </si>
  <si>
    <t>Derived</t>
  </si>
  <si>
    <t>PAYG Cost</t>
  </si>
  <si>
    <t>RI Usage Cost</t>
  </si>
  <si>
    <r>
      <rPr>
        <b/>
        <sz val="11"/>
        <color theme="1"/>
        <rFont val="Aptos Narrow"/>
        <family val="2"/>
        <scheme val="minor"/>
      </rPr>
      <t>Annual PAYG Cost</t>
    </r>
    <r>
      <rPr>
        <b/>
        <i/>
        <sz val="11"/>
        <color theme="1"/>
        <rFont val="Aptos Narrow"/>
        <family val="2"/>
        <scheme val="minor"/>
      </rPr>
      <t xml:space="preserve"> </t>
    </r>
    <r>
      <rPr>
        <i/>
        <sz val="11"/>
        <color theme="1"/>
        <rFont val="Aptos Narrow"/>
        <family val="2"/>
        <scheme val="minor"/>
      </rPr>
      <t>(Annual Hours * Number of VMs * PAYG Rate  i.e.  B13 * B4 * B6)</t>
    </r>
  </si>
  <si>
    <r>
      <rPr>
        <b/>
        <sz val="11"/>
        <color theme="1"/>
        <rFont val="Aptos Narrow"/>
        <family val="2"/>
        <scheme val="minor"/>
      </rPr>
      <t xml:space="preserve">Annual RI Usage Cost </t>
    </r>
    <r>
      <rPr>
        <sz val="11"/>
        <color theme="1"/>
        <rFont val="Aptos Narrow"/>
        <family val="2"/>
        <scheme val="minor"/>
      </rPr>
      <t xml:space="preserve"> </t>
    </r>
    <r>
      <rPr>
        <i/>
        <sz val="11"/>
        <color theme="1"/>
        <rFont val="Aptos Narrow"/>
        <family val="2"/>
        <scheme val="minor"/>
      </rPr>
      <t>(Annual Hours * Number of VMs * RI Rate  i.e.  B13 * B4 * B7)</t>
    </r>
  </si>
  <si>
    <r>
      <rPr>
        <b/>
        <sz val="11"/>
        <color theme="1"/>
        <rFont val="Aptos Narrow"/>
        <family val="2"/>
        <scheme val="minor"/>
      </rPr>
      <t>Total RI Upfront Cost</t>
    </r>
    <r>
      <rPr>
        <sz val="11"/>
        <color theme="1"/>
        <rFont val="Aptos Narrow"/>
        <family val="2"/>
        <scheme val="minor"/>
      </rPr>
      <t xml:space="preserve"> </t>
    </r>
    <r>
      <rPr>
        <i/>
        <sz val="11"/>
        <color theme="1"/>
        <rFont val="Aptos Narrow"/>
        <family val="2"/>
        <scheme val="minor"/>
      </rPr>
      <t>(RI upfront cost per VM * Number of VMs   i.e.  B8 * B4)</t>
    </r>
  </si>
  <si>
    <r>
      <t xml:space="preserve">RI Upfront Cost </t>
    </r>
    <r>
      <rPr>
        <i/>
        <sz val="11"/>
        <color theme="1"/>
        <rFont val="Aptos Narrow"/>
        <family val="2"/>
        <scheme val="minor"/>
      </rPr>
      <t>(Total RI Upfront cost i.e. B16)</t>
    </r>
  </si>
  <si>
    <r>
      <t xml:space="preserve">Total RI Annaul Cost </t>
    </r>
    <r>
      <rPr>
        <i/>
        <sz val="11"/>
        <color theme="1"/>
        <rFont val="Aptos Narrow"/>
        <family val="2"/>
        <scheme val="minor"/>
      </rPr>
      <t>(RI Upfront cost + RI Usage Cost i.e. B21+B20)</t>
    </r>
  </si>
  <si>
    <r>
      <t xml:space="preserve">Net Savings </t>
    </r>
    <r>
      <rPr>
        <i/>
        <sz val="11"/>
        <color theme="1"/>
        <rFont val="Aptos Narrow"/>
        <family val="2"/>
        <scheme val="minor"/>
      </rPr>
      <t>(Total RI Annual Cost - PAYG i.e. B22 - B19 etc.)</t>
    </r>
  </si>
  <si>
    <r>
      <rPr>
        <b/>
        <sz val="12"/>
        <color theme="1"/>
        <rFont val="Aptos Narrow"/>
        <family val="2"/>
        <scheme val="minor"/>
      </rPr>
      <t>NPV of RI Savings</t>
    </r>
    <r>
      <rPr>
        <i/>
        <sz val="12"/>
        <color theme="1"/>
        <rFont val="Aptos Narrow"/>
        <family val="2"/>
        <scheme val="minor"/>
      </rPr>
      <t xml:space="preserve"> (Sum of all Present Values i.e. SUM(B25:E25))</t>
    </r>
  </si>
  <si>
    <r>
      <rPr>
        <b/>
        <sz val="14"/>
        <color theme="1"/>
        <rFont val="Aptos Narrow"/>
        <family val="2"/>
        <scheme val="minor"/>
      </rPr>
      <t>Conclusion</t>
    </r>
    <r>
      <rPr>
        <sz val="14"/>
        <color theme="1"/>
        <rFont val="Aptos Narrow"/>
        <family val="2"/>
        <scheme val="minor"/>
      </rPr>
      <t xml:space="preserve">
Migrating the steady 50-VM workload from Pay-As-You-Go to 3-year Reserved Instances results in:
~33% reduction in annual compute cost
Recovery of upfront investment within the contract term
A positive NPV of ~$18K, even after discounting future savings</t>
    </r>
  </si>
  <si>
    <t>Calculation and Outcome</t>
  </si>
  <si>
    <r>
      <rPr>
        <b/>
        <sz val="14"/>
        <color theme="1"/>
        <rFont val="Aptos Narrow"/>
        <family val="2"/>
        <scheme val="minor"/>
      </rPr>
      <t>Decision:</t>
    </r>
    <r>
      <rPr>
        <sz val="12"/>
        <color theme="1"/>
        <rFont val="Aptos Narrow"/>
        <family val="2"/>
        <scheme val="minor"/>
      </rPr>
      <t xml:space="preserve">
The Reserved Instance option is financially justified and delivers measurable value under a stable workload profile.
This case demonstrates how FinOps principles and NPV-based analysis can guide cloud cost optimization decisions beyond simple rate comparisons.</t>
    </r>
  </si>
  <si>
    <r>
      <rPr>
        <b/>
        <sz val="11"/>
        <color theme="1"/>
        <rFont val="Aptos Narrow"/>
        <family val="2"/>
        <scheme val="minor"/>
      </rPr>
      <t xml:space="preserve">Annual Hours per VM </t>
    </r>
    <r>
      <rPr>
        <i/>
        <sz val="11"/>
        <color theme="1"/>
        <rFont val="Aptos Narrow"/>
        <family val="2"/>
        <scheme val="minor"/>
      </rPr>
      <t>(Hours Per Month * 12  i.e. B12*12 )</t>
    </r>
  </si>
  <si>
    <r>
      <rPr>
        <b/>
        <sz val="12"/>
        <color theme="1"/>
        <rFont val="Aptos Narrow"/>
        <family val="2"/>
        <scheme val="minor"/>
      </rPr>
      <t>Key Assumptions</t>
    </r>
    <r>
      <rPr>
        <sz val="12"/>
        <color theme="1"/>
        <rFont val="Aptos Narrow"/>
        <family val="2"/>
        <scheme val="minor"/>
      </rPr>
      <t xml:space="preserve">
Number of VMs: 50
Usage: 720 hours/month per VM (continuous)
PAYG rate: $0.12 per VM/hour
RI rate: $0.08 per VM/hour
RI upfront cost: $500 per VM
RI term: 3 years
Discount rate: 10%</t>
    </r>
  </si>
  <si>
    <r>
      <rPr>
        <b/>
        <sz val="12"/>
        <color theme="1"/>
        <rFont val="Aptos Narrow"/>
        <family val="2"/>
        <scheme val="minor"/>
      </rPr>
      <t>Problem Statement:</t>
    </r>
    <r>
      <rPr>
        <sz val="12"/>
        <color theme="1"/>
        <rFont val="Aptos Narrow"/>
        <family val="2"/>
        <scheme val="minor"/>
      </rPr>
      <t xml:space="preserve">
A mid-sized enterprise is running a steady production workload of 50 virtual machines in Azure, operating 24×7. The current deployment uses the Pay-As-You-Go (PAYG) pricing model.
The cloud architect is asked to evaluate whether shifting this workload to 3-year Reserved Instances (RI) would be financially beneficial, considering:
Different hourly rates for PAYG vs RI
An upfront commitment required for RI
Time value of money using a 10% discount rate
The objective is to build a financial model that compares both options and determines whether RI provides a positive Net Present Value (NPV) over a 3-year period.</t>
    </r>
  </si>
  <si>
    <r>
      <rPr>
        <b/>
        <sz val="12"/>
        <color theme="1"/>
        <rFont val="Aptos Narrow"/>
        <family val="2"/>
        <scheme val="minor"/>
      </rPr>
      <t>Model Outcome</t>
    </r>
    <r>
      <rPr>
        <sz val="12"/>
        <color theme="1"/>
        <rFont val="Aptos Narrow"/>
        <family val="2"/>
        <scheme val="minor"/>
      </rPr>
      <t xml:space="preserve">
Annual PAYG cost: $51,840
Annual RI usage cost: $34,560
Annual savings with RI: $17,280
Total RI upfront investment: $25,000
</t>
    </r>
    <r>
      <rPr>
        <b/>
        <sz val="12"/>
        <color theme="1"/>
        <rFont val="Aptos Narrow"/>
        <family val="2"/>
        <scheme val="minor"/>
      </rPr>
      <t>NPV of RI savings over 3 years: ~$17,973</t>
    </r>
  </si>
  <si>
    <t>RI Utilization Sensitivity &amp; Break-Even Analysis</t>
  </si>
  <si>
    <t>Utilization %</t>
  </si>
  <si>
    <t>Net Savings</t>
  </si>
  <si>
    <t>Utlization %</t>
  </si>
  <si>
    <t>Data Table</t>
  </si>
  <si>
    <r>
      <rPr>
        <b/>
        <sz val="12"/>
        <color theme="0"/>
        <rFont val="Aptos Narrow"/>
        <family val="2"/>
        <scheme val="minor"/>
      </rPr>
      <t>NPV of RI Savings</t>
    </r>
    <r>
      <rPr>
        <i/>
        <sz val="12"/>
        <color theme="0"/>
        <rFont val="Aptos Narrow"/>
        <family val="2"/>
        <scheme val="minor"/>
      </rPr>
      <t xml:space="preserve"> (Sum of all Present Values i.e. SUM(B25:E25))</t>
    </r>
  </si>
  <si>
    <r>
      <rPr>
        <b/>
        <sz val="14"/>
        <color theme="1"/>
        <rFont val="Aptos Narrow"/>
        <family val="2"/>
        <scheme val="minor"/>
      </rPr>
      <t>Conclusion:</t>
    </r>
    <r>
      <rPr>
        <sz val="12"/>
        <color theme="1"/>
        <rFont val="Aptos Narrow"/>
        <family val="2"/>
        <scheme val="minor"/>
      </rPr>
      <t xml:space="preserve">
At 100% utilization, RI delivers an NPV of approximately +$17.9K, confirming strong value for steady workloads.
At 80–90% utilization, RI remains beneficial, though savings decline noticeably.
Around 70% utilization, the NPV approaches break-even.
Below ~60–65% utilization, NPV turns negative, indicating that RI commitments begin to destroy value compared to PAYG.
At lower utilization levels (e.g., 50% or 40%), RI results in significant financial losses due to underutilized reserved capacity.</t>
    </r>
  </si>
  <si>
    <t>Reserved Instances should be adopted only when there is high confidence that workload utilization will consistently remain above the ~67% break-even threshold over the commitment period.
This case highlights that RI selection is not merely a rate optimization exercise, but a capacity commitment decision under uncertainty. By combining NPV modeling with Excel What-If analysis, architects and FinOps teams can explicitly quantify utilization risk and make more resilient, data-driven cloud cost decisions.</t>
  </si>
  <si>
    <r>
      <rPr>
        <b/>
        <sz val="16"/>
        <color theme="1"/>
        <rFont val="Aptos Narrow"/>
        <family val="2"/>
        <scheme val="minor"/>
      </rPr>
      <t>Problem Statement:</t>
    </r>
    <r>
      <rPr>
        <sz val="16"/>
        <color theme="1"/>
        <rFont val="Aptos Narrow"/>
        <family val="2"/>
        <scheme val="minor"/>
      </rPr>
      <t xml:space="preserve">
In the earlier analysis, Reserved Instances (RI) were shown to be financially beneficial for a steady, always-on workload when compared to Pay-As-You-Go (PAYG) pricing. However, in real enterprise cloud environments, workloads rarely operate at constant 100% utilization due to factors such as scaling events, environment shutdowns, demand fluctuations, and architectural changes.
A cloud architect is asked to extend the financial evaluation to incorporate utilization uncertainty and answer the following questions:
How does the financial benefit of RI change as actual utilization varies?
At what utilization level does RI stop being more cost-effective than PAYG?
What is the break-even utilization threshold below which long-term RI commitments introduce financial risk?
The objective is to build a utilization-aware financial model and use Excel What-If Analysis to simulate different utilization scenarios, quantify their impact on Net Present Value (NPV), and provide data-driven guidance on whether committing to Reserved Instances is justified under variable workload conditions. commitment is justified under uncertain or variable workload patterns.</t>
    </r>
  </si>
  <si>
    <r>
      <rPr>
        <b/>
        <sz val="16"/>
        <color theme="1"/>
        <rFont val="Aptos Narrow"/>
        <family val="2"/>
        <scheme val="minor"/>
      </rPr>
      <t>Key Assumptions</t>
    </r>
    <r>
      <rPr>
        <sz val="16"/>
        <color theme="1"/>
        <rFont val="Aptos Narrow"/>
        <family val="2"/>
        <scheme val="minor"/>
      </rPr>
      <t xml:space="preserve">
Number of VMs: 50
Usage: 720 hours/month per VM (continuous)
PAYG rate: $0.12 per VM/hour
RI rate: $0.08 per VM/hour
RI upfront cost: $500 per VM
RI term: 3 years
Discount rate: 10%</t>
    </r>
  </si>
  <si>
    <r>
      <rPr>
        <b/>
        <sz val="16"/>
        <color theme="0"/>
        <rFont val="Aptos Narrow"/>
        <family val="2"/>
        <scheme val="minor"/>
      </rPr>
      <t>Conclusion</t>
    </r>
    <r>
      <rPr>
        <sz val="16"/>
        <color theme="0"/>
        <rFont val="Aptos Narrow"/>
        <family val="2"/>
        <scheme val="minor"/>
      </rPr>
      <t xml:space="preserve">
Migrating the steady 50-VM workload from Pay-As-You-Go to 3-year Reserved Instances results in:
~33% reduction in annual compute cost
Recovery of upfront investment within the contract term
A positive NPV of ~$18K, even after discounting future savings</t>
    </r>
  </si>
  <si>
    <t>Scenario Analysis, What-If, Goal Seek &amp; Sensitivity</t>
  </si>
  <si>
    <t>Days per Month</t>
  </si>
  <si>
    <t>Analysis Period (Years)</t>
  </si>
  <si>
    <t>Right-Sizing Savings</t>
  </si>
  <si>
    <t>Auto-Scaling Savings</t>
  </si>
  <si>
    <t>Baseline VM Count</t>
  </si>
  <si>
    <t>Current VM Rate ($/VM/hr)</t>
  </si>
  <si>
    <t>Right-Sized VM Rate ($/VM/hr)</t>
  </si>
  <si>
    <t>Peak VMs (Auto-Scale)</t>
  </si>
  <si>
    <t>Off-Peak VMs (Auto-Scale)</t>
  </si>
  <si>
    <t>Peak Hours per Day</t>
  </si>
  <si>
    <t>Off-Peak Hours per Day</t>
  </si>
  <si>
    <t>Annual Hours</t>
  </si>
  <si>
    <t>Baseline Annual Cost</t>
  </si>
  <si>
    <t>Right-Sized Annual Cost</t>
  </si>
  <si>
    <t>Auto-Scaled Annual Cost</t>
  </si>
  <si>
    <t>Baseline Cost</t>
  </si>
  <si>
    <t>Optimized Cost (RS+AS)</t>
  </si>
  <si>
    <t>NPV of Optimization Savings</t>
  </si>
  <si>
    <t xml:space="preserve"> Off-Peak</t>
  </si>
  <si>
    <t xml:space="preserve">Peak </t>
  </si>
  <si>
    <t>Case 4: Sensitivity Analysis: Annual Optimized Cost vs Peak and Off-Peak VM Demand</t>
  </si>
  <si>
    <t>Primary Region VM Count</t>
  </si>
  <si>
    <t>DR Region VM Count (Active-Passive)</t>
  </si>
  <si>
    <t>DR Region VM Count (Active-Active)</t>
  </si>
  <si>
    <t>VM Rate ($/VM/hr)</t>
  </si>
  <si>
    <t>Downtime Cost per Hour ($)</t>
  </si>
  <si>
    <t>Annual Probability of Major Outage</t>
  </si>
  <si>
    <t>RTO – Active-Passive (hours)</t>
  </si>
  <si>
    <t>RTO – Active-Active (hours)</t>
  </si>
  <si>
    <t>Derived – Annual Infrastructure Cost</t>
  </si>
  <si>
    <t>Annual Primary Region Cost</t>
  </si>
  <si>
    <t>Annual DR Cost – Active-Passive</t>
  </si>
  <si>
    <t>Annual DR Cost – Active-Active</t>
  </si>
  <si>
    <t>Derived – Expected Downtime Loss</t>
  </si>
  <si>
    <t>Expected Downtime Loss – Active-Passive</t>
  </si>
  <si>
    <t>Expected Downtime Loss – Active-Active</t>
  </si>
  <si>
    <t>Total Expected Annual Cost</t>
  </si>
  <si>
    <t>Total Annual Cost – Active-Passive</t>
  </si>
  <si>
    <t>Total Annual Cost – Active-Active</t>
  </si>
  <si>
    <t>Active-Passive Cost</t>
  </si>
  <si>
    <t>Active-Active Cost</t>
  </si>
  <si>
    <t>PV – Active-Passive</t>
  </si>
  <si>
    <t>PV – Active-Active</t>
  </si>
  <si>
    <t>NPV – Active-Passive</t>
  </si>
  <si>
    <t>NPV – Active-Active</t>
  </si>
  <si>
    <t>Preferred DR Strategy</t>
  </si>
  <si>
    <t>Case 5: DR Strategy Cost–Risk Optimization (Active–Passive vs Active–Active)</t>
  </si>
  <si>
    <t>PAYG Rate ($/VM/hr)</t>
  </si>
  <si>
    <t>Reserved Instance Rate ($/VM/hr)</t>
  </si>
  <si>
    <t>Savings Plan Rate ($/VM/hr)</t>
  </si>
  <si>
    <t>Average Utilization %</t>
  </si>
  <si>
    <t>Annual Hours per VM</t>
  </si>
  <si>
    <t>Effective Annual Hours (Utilization-adjusted)</t>
  </si>
  <si>
    <t>Annual PAYG Cost</t>
  </si>
  <si>
    <t>Annual RI Usage Cost</t>
  </si>
  <si>
    <t>Annual Savings Plan Cost</t>
  </si>
  <si>
    <t>Total RI Upfront Cost</t>
  </si>
  <si>
    <t>Annual Savings – RI</t>
  </si>
  <si>
    <t>Annual Savings – Savings Plan</t>
  </si>
  <si>
    <t>RI Cost</t>
  </si>
  <si>
    <t>Savings Plan Cost</t>
  </si>
  <si>
    <t>PV – PAYG</t>
  </si>
  <si>
    <t>PV – RI</t>
  </si>
  <si>
    <t>PV – Savings Plan</t>
  </si>
  <si>
    <t>NPV – PAYG</t>
  </si>
  <si>
    <t>NPV – RI</t>
  </si>
  <si>
    <t>NPV – Savings Plan</t>
  </si>
  <si>
    <t>NPV SUMMARY</t>
  </si>
  <si>
    <t>DISCOUNT FACTOR</t>
  </si>
  <si>
    <t>PRESENT VALUES</t>
  </si>
  <si>
    <t>DERIVED – ANNUAL COSTS</t>
  </si>
  <si>
    <t>DERIVED – USAGE</t>
  </si>
  <si>
    <t>ANNUAL SAVINGS VS PAYG</t>
  </si>
  <si>
    <t>Case 6: Reserved Instances vs Savings Plans vs Pay-As-You-Go (Decision under Variability)</t>
  </si>
  <si>
    <t>Preferred Pricing Model</t>
  </si>
  <si>
    <t>Simulation Summary</t>
  </si>
  <si>
    <t>Mean NPV</t>
  </si>
  <si>
    <t>Median NPV</t>
  </si>
  <si>
    <t>Probability of Positive NPV</t>
  </si>
  <si>
    <t>Worst Case (P5)</t>
  </si>
  <si>
    <t>Best Case (P95)</t>
  </si>
  <si>
    <t>NPV (Savings Plan)</t>
  </si>
  <si>
    <t>Iteration</t>
  </si>
  <si>
    <t>Simulation Utilization % (helper)</t>
  </si>
  <si>
    <t>Yearly Cost (Years 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</si>
</sst>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quot;K&quot;"/>
    <numFmt numFmtId="165" formatCode="#,##0.00,\ &quot;K&quot;"/>
  </numFmts>
  <fonts count="24">
    <font>
      <sz val="11"/>
      <color theme="1"/>
      <name val="Aptos Narrow"/>
      <family val="2"/>
      <scheme val="minor"/>
    </font>
    <font>
      <b/>
      <sz val="11"/>
      <color theme="0"/>
      <name val="Aptos Narrow"/>
      <family val="2"/>
      <scheme val="minor"/>
    </font>
    <font>
      <b/>
      <sz val="11"/>
      <color theme="1"/>
      <name val="Aptos Narrow"/>
      <family val="2"/>
      <scheme val="minor"/>
    </font>
    <font>
      <b/>
      <sz val="12"/>
      <color theme="1"/>
      <name val="Aptos Narrow"/>
      <family val="2"/>
      <scheme val="minor"/>
    </font>
    <font>
      <b/>
      <sz val="12"/>
      <color theme="0"/>
      <name val="Aptos Narrow"/>
      <family val="2"/>
      <scheme val="minor"/>
    </font>
    <font>
      <b/>
      <sz val="14"/>
      <color theme="1"/>
      <name val="Aptos Narrow"/>
      <family val="2"/>
      <scheme val="minor"/>
    </font>
    <font>
      <b/>
      <sz val="14"/>
      <color theme="0"/>
      <name val="Aptos Narrow"/>
      <family val="2"/>
      <scheme val="minor"/>
    </font>
    <font>
      <sz val="14"/>
      <color theme="1"/>
      <name val="Aptos Narrow"/>
      <family val="2"/>
      <scheme val="minor"/>
    </font>
    <font>
      <sz val="12"/>
      <color theme="0"/>
      <name val="Aptos Narrow"/>
      <family val="2"/>
      <scheme val="minor"/>
    </font>
    <font>
      <sz val="14"/>
      <color theme="0"/>
      <name val="Aptos Narrow"/>
      <family val="2"/>
      <scheme val="minor"/>
    </font>
    <font>
      <sz val="16"/>
      <color theme="0"/>
      <name val="Aptos Narrow"/>
      <family val="2"/>
      <scheme val="minor"/>
    </font>
    <font>
      <b/>
      <sz val="16"/>
      <color theme="0"/>
      <name val="Aptos Narrow"/>
      <family val="2"/>
      <scheme val="minor"/>
    </font>
    <font>
      <sz val="12"/>
      <color theme="1"/>
      <name val="Aptos Narrow"/>
      <family val="2"/>
      <scheme val="minor"/>
    </font>
    <font>
      <i/>
      <sz val="11"/>
      <color theme="1"/>
      <name val="Aptos Narrow"/>
      <family val="2"/>
      <scheme val="minor"/>
    </font>
    <font>
      <b/>
      <i/>
      <sz val="11"/>
      <color theme="1"/>
      <name val="Aptos Narrow"/>
      <family val="2"/>
      <scheme val="minor"/>
    </font>
    <font>
      <i/>
      <sz val="12"/>
      <color theme="1"/>
      <name val="Aptos Narrow"/>
      <family val="2"/>
      <scheme val="minor"/>
    </font>
    <font>
      <sz val="16"/>
      <color theme="1"/>
      <name val="Aptos Narrow"/>
      <family val="2"/>
      <scheme val="minor"/>
    </font>
    <font>
      <b/>
      <sz val="18"/>
      <color theme="0"/>
      <name val="Aptos Narrow"/>
      <family val="2"/>
      <scheme val="minor"/>
    </font>
    <font>
      <b/>
      <sz val="16"/>
      <color theme="1"/>
      <name val="Aptos Narrow"/>
      <family val="2"/>
      <scheme val="minor"/>
    </font>
    <font>
      <i/>
      <sz val="12"/>
      <color theme="0"/>
      <name val="Aptos Narrow"/>
      <family val="2"/>
      <scheme val="minor"/>
    </font>
    <font>
      <b/>
      <sz val="22"/>
      <color theme="0"/>
      <name val="Aptos Narrow"/>
      <family val="2"/>
      <scheme val="minor"/>
    </font>
    <font>
      <i/>
      <sz val="14"/>
      <color theme="1"/>
      <name val="Aptos Narrow"/>
      <family val="2"/>
      <scheme val="minor"/>
    </font>
    <font>
      <sz val="12"/>
      <color theme="1"/>
      <name val="Arial Unicode MS"/>
    </font>
    <font>
      <sz val="11"/>
      <color rgb="FF000000"/>
      <name val="Aptos Narrow"/>
      <family val="2"/>
      <scheme val="minor"/>
    </font>
  </fonts>
  <fills count="18">
    <fill>
      <patternFill patternType="none"/>
    </fill>
    <fill>
      <patternFill patternType="gray125"/>
    </fill>
    <fill>
      <patternFill patternType="solid">
        <fgColor theme="7" tint="-0.249977111117893"/>
        <bgColor indexed="64"/>
      </patternFill>
    </fill>
    <fill>
      <patternFill patternType="solid">
        <fgColor theme="9" tint="0.79998168889431442"/>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theme="9" tint="0.59999389629810485"/>
        <bgColor indexed="64"/>
      </patternFill>
    </fill>
    <fill>
      <patternFill patternType="solid">
        <fgColor theme="6" tint="-0.249977111117893"/>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6"/>
        <bgColor indexed="64"/>
      </patternFill>
    </fill>
    <fill>
      <patternFill patternType="solid">
        <fgColor rgb="FFFFC000"/>
        <bgColor indexed="64"/>
      </patternFill>
    </fill>
    <fill>
      <patternFill patternType="solid">
        <fgColor theme="3" tint="0.89999084444715716"/>
        <bgColor indexed="64"/>
      </patternFill>
    </fill>
  </fills>
  <borders count="4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style="medium">
        <color indexed="64"/>
      </top>
      <bottom style="medium">
        <color indexed="64"/>
      </bottom>
      <diagonal/>
    </border>
    <border>
      <left style="thin">
        <color indexed="64"/>
      </left>
      <right/>
      <top/>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192">
    <xf numFmtId="0" fontId="0" fillId="0" borderId="0" xfId="0"/>
    <xf numFmtId="0" fontId="0" fillId="0" borderId="2" xfId="0" applyBorder="1"/>
    <xf numFmtId="9" fontId="0" fillId="0" borderId="2" xfId="0" applyNumberFormat="1" applyBorder="1"/>
    <xf numFmtId="0" fontId="6" fillId="2" borderId="2" xfId="0" applyFont="1" applyFill="1" applyBorder="1" applyAlignment="1">
      <alignment horizontal="center" vertical="center"/>
    </xf>
    <xf numFmtId="0" fontId="2" fillId="0" borderId="2" xfId="0" applyFont="1" applyBorder="1"/>
    <xf numFmtId="0" fontId="5" fillId="3" borderId="2" xfId="0" applyFont="1" applyFill="1" applyBorder="1"/>
    <xf numFmtId="0" fontId="0" fillId="0" borderId="0" xfId="0" applyAlignment="1">
      <alignment wrapText="1"/>
    </xf>
    <xf numFmtId="0" fontId="0" fillId="0" borderId="2" xfId="0" applyBorder="1" applyAlignment="1">
      <alignment wrapText="1"/>
    </xf>
    <xf numFmtId="0" fontId="2" fillId="5" borderId="21" xfId="0" applyFont="1" applyFill="1" applyBorder="1" applyAlignment="1">
      <alignment wrapText="1"/>
    </xf>
    <xf numFmtId="0" fontId="2" fillId="0" borderId="22" xfId="0" applyFont="1" applyBorder="1" applyAlignment="1">
      <alignment wrapText="1"/>
    </xf>
    <xf numFmtId="0" fontId="2" fillId="5" borderId="23" xfId="0" applyFont="1" applyFill="1" applyBorder="1" applyAlignment="1">
      <alignment wrapText="1"/>
    </xf>
    <xf numFmtId="9" fontId="2" fillId="0" borderId="24" xfId="0" applyNumberFormat="1" applyFont="1" applyBorder="1" applyAlignment="1">
      <alignment wrapText="1"/>
    </xf>
    <xf numFmtId="0" fontId="0" fillId="5" borderId="21" xfId="0" applyFill="1" applyBorder="1" applyAlignment="1">
      <alignment wrapText="1"/>
    </xf>
    <xf numFmtId="0" fontId="0" fillId="5" borderId="23" xfId="0" applyFill="1" applyBorder="1" applyAlignment="1">
      <alignment wrapText="1"/>
    </xf>
    <xf numFmtId="0" fontId="3" fillId="6" borderId="25" xfId="0" applyFont="1" applyFill="1" applyBorder="1" applyAlignment="1">
      <alignment horizontal="left" wrapText="1"/>
    </xf>
    <xf numFmtId="0" fontId="3" fillId="6" borderId="26" xfId="0" applyFont="1" applyFill="1" applyBorder="1" applyAlignment="1">
      <alignment horizontal="center" wrapText="1"/>
    </xf>
    <xf numFmtId="0" fontId="3" fillId="6" borderId="27" xfId="0" applyFont="1" applyFill="1" applyBorder="1" applyAlignment="1">
      <alignment horizontal="center" wrapText="1"/>
    </xf>
    <xf numFmtId="0" fontId="0" fillId="0" borderId="17" xfId="0" applyBorder="1" applyAlignment="1">
      <alignment wrapText="1"/>
    </xf>
    <xf numFmtId="0" fontId="0" fillId="7" borderId="17" xfId="0" applyFill="1" applyBorder="1" applyAlignment="1">
      <alignment wrapText="1"/>
    </xf>
    <xf numFmtId="0" fontId="0" fillId="7" borderId="0" xfId="0" applyFill="1" applyAlignment="1">
      <alignment wrapText="1"/>
    </xf>
    <xf numFmtId="0" fontId="0" fillId="8" borderId="17" xfId="0" applyFill="1" applyBorder="1" applyAlignment="1">
      <alignment wrapText="1"/>
    </xf>
    <xf numFmtId="0" fontId="0" fillId="8" borderId="0" xfId="0" applyFill="1" applyAlignment="1">
      <alignment wrapText="1"/>
    </xf>
    <xf numFmtId="0" fontId="0" fillId="8" borderId="18" xfId="0" applyFill="1" applyBorder="1" applyAlignment="1">
      <alignment wrapText="1"/>
    </xf>
    <xf numFmtId="0" fontId="0" fillId="8" borderId="15" xfId="0" applyFill="1" applyBorder="1" applyAlignment="1">
      <alignment wrapText="1"/>
    </xf>
    <xf numFmtId="10" fontId="0" fillId="8" borderId="0" xfId="0" applyNumberFormat="1" applyFill="1" applyAlignment="1">
      <alignment wrapText="1"/>
    </xf>
    <xf numFmtId="0" fontId="2" fillId="5" borderId="17" xfId="0" applyFont="1" applyFill="1" applyBorder="1" applyAlignment="1">
      <alignment wrapText="1"/>
    </xf>
    <xf numFmtId="9" fontId="2" fillId="0" borderId="0" xfId="0" applyNumberFormat="1" applyFont="1" applyAlignment="1">
      <alignment wrapText="1"/>
    </xf>
    <xf numFmtId="0" fontId="3" fillId="7" borderId="0" xfId="0" applyFont="1" applyFill="1" applyAlignment="1">
      <alignment vertical="center" wrapText="1"/>
    </xf>
    <xf numFmtId="0" fontId="0" fillId="0" borderId="2" xfId="0" applyBorder="1" applyAlignment="1">
      <alignment horizontal="center" wrapText="1"/>
    </xf>
    <xf numFmtId="10" fontId="7" fillId="8" borderId="21" xfId="0" applyNumberFormat="1" applyFont="1" applyFill="1" applyBorder="1" applyAlignment="1">
      <alignment wrapText="1"/>
    </xf>
    <xf numFmtId="10" fontId="7" fillId="8" borderId="23" xfId="0" applyNumberFormat="1" applyFont="1" applyFill="1" applyBorder="1" applyAlignment="1">
      <alignment wrapText="1"/>
    </xf>
    <xf numFmtId="0" fontId="6" fillId="9" borderId="25" xfId="0" applyFont="1" applyFill="1" applyBorder="1" applyAlignment="1">
      <alignment horizontal="center" vertical="center" wrapText="1"/>
    </xf>
    <xf numFmtId="0" fontId="6" fillId="9" borderId="27" xfId="0" applyFont="1" applyFill="1" applyBorder="1" applyAlignment="1">
      <alignment horizontal="center" vertical="center" wrapText="1"/>
    </xf>
    <xf numFmtId="0" fontId="0" fillId="5" borderId="33" xfId="0" applyFill="1" applyBorder="1" applyAlignment="1">
      <alignment wrapText="1"/>
    </xf>
    <xf numFmtId="0" fontId="4" fillId="9" borderId="25" xfId="0" applyFont="1" applyFill="1" applyBorder="1" applyAlignment="1">
      <alignment horizontal="center" wrapText="1"/>
    </xf>
    <xf numFmtId="0" fontId="4" fillId="9" borderId="26" xfId="0" applyFont="1" applyFill="1" applyBorder="1" applyAlignment="1">
      <alignment horizontal="center" wrapText="1"/>
    </xf>
    <xf numFmtId="0" fontId="4" fillId="9" borderId="27" xfId="0" applyFont="1" applyFill="1" applyBorder="1" applyAlignment="1">
      <alignment horizontal="center" wrapText="1"/>
    </xf>
    <xf numFmtId="0" fontId="8" fillId="9" borderId="10" xfId="0" applyFont="1" applyFill="1" applyBorder="1" applyAlignment="1">
      <alignment vertical="center" wrapText="1"/>
    </xf>
    <xf numFmtId="0" fontId="12" fillId="7" borderId="17" xfId="0" applyFont="1" applyFill="1" applyBorder="1" applyAlignment="1">
      <alignment horizontal="left" vertical="top" wrapText="1"/>
    </xf>
    <xf numFmtId="0" fontId="12" fillId="7" borderId="0" xfId="0" applyFont="1" applyFill="1" applyAlignment="1">
      <alignment horizontal="left" vertical="top" wrapText="1"/>
    </xf>
    <xf numFmtId="0" fontId="3" fillId="0" borderId="2" xfId="0" applyFont="1" applyBorder="1" applyAlignment="1">
      <alignment vertical="center" wrapText="1"/>
    </xf>
    <xf numFmtId="0" fontId="12" fillId="0" borderId="2" xfId="0" applyFont="1" applyBorder="1" applyAlignment="1">
      <alignment vertical="center" wrapText="1"/>
    </xf>
    <xf numFmtId="0" fontId="0" fillId="0" borderId="2" xfId="0" applyBorder="1" applyAlignment="1">
      <alignment horizontal="center" vertical="center" wrapText="1"/>
    </xf>
    <xf numFmtId="0" fontId="12" fillId="0" borderId="2" xfId="0" applyFont="1" applyBorder="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12" fillId="0" borderId="2" xfId="0" applyFont="1" applyBorder="1" applyAlignment="1">
      <alignment wrapText="1"/>
    </xf>
    <xf numFmtId="9" fontId="12" fillId="0" borderId="2" xfId="0" applyNumberFormat="1" applyFont="1" applyBorder="1" applyAlignment="1">
      <alignment wrapText="1"/>
    </xf>
    <xf numFmtId="0" fontId="12" fillId="0" borderId="0" xfId="0" applyFont="1" applyAlignment="1">
      <alignment wrapText="1"/>
    </xf>
    <xf numFmtId="0" fontId="6" fillId="4" borderId="2" xfId="0" applyFont="1" applyFill="1" applyBorder="1" applyAlignment="1">
      <alignment wrapText="1"/>
    </xf>
    <xf numFmtId="0" fontId="2" fillId="13" borderId="2" xfId="0" applyFont="1" applyFill="1" applyBorder="1" applyAlignment="1">
      <alignment horizontal="center" vertical="center" wrapText="1"/>
    </xf>
    <xf numFmtId="0" fontId="12" fillId="13" borderId="2" xfId="0" applyFont="1" applyFill="1" applyBorder="1" applyAlignment="1">
      <alignment wrapText="1"/>
    </xf>
    <xf numFmtId="0" fontId="4" fillId="4" borderId="2" xfId="0" applyFont="1" applyFill="1" applyBorder="1" applyAlignment="1">
      <alignment vertical="center" wrapText="1"/>
    </xf>
    <xf numFmtId="0" fontId="4" fillId="4" borderId="2" xfId="0" applyFont="1" applyFill="1" applyBorder="1" applyAlignment="1">
      <alignment horizontal="center" vertical="center" wrapText="1"/>
    </xf>
    <xf numFmtId="0" fontId="2" fillId="14" borderId="0" xfId="0" applyFont="1" applyFill="1" applyAlignment="1">
      <alignment horizontal="center" vertical="center" wrapText="1"/>
    </xf>
    <xf numFmtId="0" fontId="23" fillId="0" borderId="0" xfId="0" applyFont="1" applyAlignment="1">
      <alignment wrapText="1"/>
    </xf>
    <xf numFmtId="0" fontId="23" fillId="0" borderId="2" xfId="0" applyFont="1" applyBorder="1" applyAlignment="1">
      <alignment wrapText="1"/>
    </xf>
    <xf numFmtId="164" fontId="0" fillId="0" borderId="2" xfId="0" applyNumberFormat="1" applyBorder="1"/>
    <xf numFmtId="2" fontId="0" fillId="0" borderId="2" xfId="0" applyNumberFormat="1" applyBorder="1" applyAlignment="1">
      <alignment horizontal="center" wrapText="1"/>
    </xf>
    <xf numFmtId="164" fontId="0" fillId="0" borderId="2" xfId="0" applyNumberFormat="1" applyBorder="1" applyAlignment="1">
      <alignment horizontal="center" vertical="center"/>
    </xf>
    <xf numFmtId="164" fontId="0" fillId="0" borderId="2" xfId="0" applyNumberFormat="1" applyBorder="1" applyAlignment="1">
      <alignment horizontal="center" vertical="center" wrapText="1"/>
    </xf>
    <xf numFmtId="0" fontId="0" fillId="0" borderId="22" xfId="0" applyBorder="1" applyAlignment="1">
      <alignment horizontal="center" vertical="center" wrapText="1"/>
    </xf>
    <xf numFmtId="2" fontId="0" fillId="0" borderId="2" xfId="0" applyNumberFormat="1" applyBorder="1" applyAlignment="1">
      <alignment horizontal="center" vertical="center" wrapText="1"/>
    </xf>
    <xf numFmtId="2" fontId="22" fillId="0" borderId="2" xfId="0" applyNumberFormat="1" applyFont="1" applyBorder="1" applyAlignment="1">
      <alignment horizontal="center" vertical="center" wrapText="1"/>
    </xf>
    <xf numFmtId="165" fontId="0" fillId="0" borderId="0" xfId="0" applyNumberFormat="1"/>
    <xf numFmtId="165" fontId="2" fillId="0" borderId="2" xfId="0" applyNumberFormat="1" applyFont="1" applyBorder="1" applyAlignment="1">
      <alignment horizontal="center" vertical="center"/>
    </xf>
    <xf numFmtId="165" fontId="0" fillId="0" borderId="2" xfId="0" applyNumberFormat="1" applyBorder="1"/>
    <xf numFmtId="165" fontId="0" fillId="0" borderId="2" xfId="0" applyNumberFormat="1" applyBorder="1" applyAlignment="1">
      <alignment wrapText="1"/>
    </xf>
    <xf numFmtId="165" fontId="2" fillId="12" borderId="2" xfId="0" applyNumberFormat="1" applyFont="1" applyFill="1" applyBorder="1" applyAlignment="1">
      <alignment wrapText="1"/>
    </xf>
    <xf numFmtId="165" fontId="7" fillId="0" borderId="2" xfId="0" applyNumberFormat="1" applyFont="1" applyBorder="1" applyAlignment="1">
      <alignment wrapText="1"/>
    </xf>
    <xf numFmtId="165" fontId="22" fillId="0" borderId="2" xfId="0" applyNumberFormat="1" applyFont="1" applyBorder="1" applyAlignment="1">
      <alignment horizontal="center" vertical="center" wrapText="1"/>
    </xf>
    <xf numFmtId="165" fontId="12" fillId="0" borderId="2" xfId="0" applyNumberFormat="1" applyFont="1" applyBorder="1" applyAlignment="1">
      <alignment wrapText="1"/>
    </xf>
    <xf numFmtId="165" fontId="5" fillId="0" borderId="2" xfId="0" applyNumberFormat="1" applyFont="1" applyBorder="1" applyAlignment="1">
      <alignment wrapText="1"/>
    </xf>
    <xf numFmtId="165" fontId="7" fillId="8" borderId="22" xfId="0" applyNumberFormat="1" applyFont="1" applyFill="1" applyBorder="1" applyAlignment="1">
      <alignment wrapText="1"/>
    </xf>
    <xf numFmtId="165" fontId="7" fillId="8" borderId="24" xfId="0" applyNumberFormat="1" applyFont="1" applyFill="1" applyBorder="1" applyAlignment="1">
      <alignment wrapText="1"/>
    </xf>
    <xf numFmtId="165" fontId="2" fillId="0" borderId="34" xfId="0" applyNumberFormat="1" applyFont="1" applyBorder="1" applyAlignment="1">
      <alignment wrapText="1"/>
    </xf>
    <xf numFmtId="165" fontId="2" fillId="0" borderId="22" xfId="0" applyNumberFormat="1" applyFont="1" applyBorder="1" applyAlignment="1">
      <alignment wrapText="1"/>
    </xf>
    <xf numFmtId="165" fontId="2" fillId="0" borderId="24" xfId="0" applyNumberFormat="1" applyFont="1" applyBorder="1" applyAlignment="1">
      <alignment wrapText="1"/>
    </xf>
    <xf numFmtId="165" fontId="2" fillId="0" borderId="28" xfId="0" applyNumberFormat="1" applyFont="1" applyBorder="1" applyAlignment="1">
      <alignment horizontal="center" wrapText="1"/>
    </xf>
    <xf numFmtId="165" fontId="2" fillId="0" borderId="24" xfId="0" applyNumberFormat="1" applyFont="1" applyBorder="1" applyAlignment="1">
      <alignment horizontal="center" wrapText="1"/>
    </xf>
    <xf numFmtId="165" fontId="0" fillId="0" borderId="2" xfId="0" applyNumberFormat="1" applyBorder="1" applyAlignment="1">
      <alignment horizontal="center" wrapText="1"/>
    </xf>
    <xf numFmtId="165" fontId="0" fillId="0" borderId="22" xfId="0" applyNumberFormat="1" applyBorder="1" applyAlignment="1">
      <alignment horizontal="center" wrapText="1"/>
    </xf>
    <xf numFmtId="165" fontId="6" fillId="9" borderId="32" xfId="0" applyNumberFormat="1" applyFont="1" applyFill="1" applyBorder="1" applyAlignment="1">
      <alignment vertical="center" wrapText="1"/>
    </xf>
    <xf numFmtId="0" fontId="4" fillId="4" borderId="0" xfId="0" applyFont="1" applyFill="1"/>
    <xf numFmtId="0" fontId="3" fillId="16" borderId="0" xfId="0" applyFont="1" applyFill="1"/>
    <xf numFmtId="0" fontId="0" fillId="8" borderId="2" xfId="0" applyFill="1" applyBorder="1"/>
    <xf numFmtId="9" fontId="0" fillId="8" borderId="2" xfId="0" applyNumberFormat="1" applyFill="1" applyBorder="1"/>
    <xf numFmtId="0" fontId="0" fillId="17" borderId="2" xfId="0" applyFill="1" applyBorder="1"/>
    <xf numFmtId="9" fontId="0" fillId="17" borderId="2" xfId="0" applyNumberFormat="1" applyFill="1" applyBorder="1"/>
    <xf numFmtId="165" fontId="0" fillId="17" borderId="2" xfId="0" applyNumberFormat="1" applyFill="1" applyBorder="1"/>
    <xf numFmtId="2" fontId="0" fillId="17" borderId="2" xfId="0" applyNumberFormat="1" applyFill="1" applyBorder="1"/>
    <xf numFmtId="9" fontId="0" fillId="0" borderId="0" xfId="0" applyNumberFormat="1" applyAlignment="1">
      <alignment vertical="center" wrapText="1"/>
    </xf>
    <xf numFmtId="4" fontId="0" fillId="0" borderId="0" xfId="0" applyNumberFormat="1"/>
    <xf numFmtId="10" fontId="0" fillId="0" borderId="0" xfId="0" applyNumberFormat="1"/>
    <xf numFmtId="0" fontId="2" fillId="0" borderId="0" xfId="0" applyFont="1" applyAlignment="1">
      <alignment horizontal="center" vertical="center"/>
    </xf>
    <xf numFmtId="0" fontId="2" fillId="0" borderId="0" xfId="0" applyFont="1"/>
    <xf numFmtId="0" fontId="11" fillId="2" borderId="1" xfId="0" applyFont="1" applyFill="1" applyBorder="1" applyAlignment="1">
      <alignment horizontal="center"/>
    </xf>
    <xf numFmtId="0" fontId="11" fillId="2" borderId="0" xfId="0" applyFont="1" applyFill="1" applyAlignment="1">
      <alignment horizontal="center"/>
    </xf>
    <xf numFmtId="0" fontId="11" fillId="2" borderId="2" xfId="0" applyFont="1" applyFill="1" applyBorder="1" applyAlignment="1">
      <alignment horizontal="center"/>
    </xf>
    <xf numFmtId="0" fontId="7" fillId="5" borderId="0" xfId="0" applyFont="1" applyFill="1" applyAlignment="1">
      <alignment horizontal="left" vertical="top" wrapText="1"/>
    </xf>
    <xf numFmtId="0" fontId="5" fillId="5" borderId="0" xfId="0" applyFont="1" applyFill="1" applyAlignment="1">
      <alignment horizontal="center" vertical="center"/>
    </xf>
    <xf numFmtId="0" fontId="0" fillId="8" borderId="31" xfId="0" applyFill="1" applyBorder="1" applyAlignment="1">
      <alignment horizontal="center" wrapText="1"/>
    </xf>
    <xf numFmtId="0" fontId="0" fillId="8" borderId="38" xfId="0" applyFill="1" applyBorder="1" applyAlignment="1">
      <alignment horizontal="center" wrapText="1"/>
    </xf>
    <xf numFmtId="0" fontId="0" fillId="8" borderId="32" xfId="0" applyFill="1" applyBorder="1" applyAlignment="1">
      <alignment horizontal="center" wrapText="1"/>
    </xf>
    <xf numFmtId="0" fontId="12" fillId="3" borderId="11" xfId="0" applyFont="1" applyFill="1" applyBorder="1" applyAlignment="1">
      <alignment horizontal="left" vertical="top" wrapText="1"/>
    </xf>
    <xf numFmtId="0" fontId="12" fillId="3" borderId="12" xfId="0" applyFont="1" applyFill="1" applyBorder="1" applyAlignment="1">
      <alignment horizontal="left" vertical="top" wrapText="1"/>
    </xf>
    <xf numFmtId="0" fontId="12" fillId="3" borderId="17" xfId="0" applyFont="1" applyFill="1" applyBorder="1" applyAlignment="1">
      <alignment horizontal="left" vertical="top" wrapText="1"/>
    </xf>
    <xf numFmtId="0" fontId="12" fillId="3" borderId="0" xfId="0" applyFont="1" applyFill="1" applyAlignment="1">
      <alignment horizontal="left" vertical="top" wrapText="1"/>
    </xf>
    <xf numFmtId="0" fontId="3" fillId="3" borderId="11"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3" fillId="3" borderId="14"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12" fillId="3" borderId="29" xfId="0" applyFont="1" applyFill="1" applyBorder="1" applyAlignment="1">
      <alignment horizontal="center" vertical="center" wrapText="1"/>
    </xf>
    <xf numFmtId="0" fontId="12" fillId="3" borderId="30" xfId="0" applyFont="1" applyFill="1" applyBorder="1" applyAlignment="1">
      <alignment horizontal="center" vertical="center" wrapText="1"/>
    </xf>
    <xf numFmtId="0" fontId="12" fillId="3" borderId="13" xfId="0" applyFont="1" applyFill="1" applyBorder="1" applyAlignment="1">
      <alignment horizontal="left" vertical="top" wrapText="1"/>
    </xf>
    <xf numFmtId="0" fontId="12" fillId="3" borderId="18" xfId="0" applyFont="1" applyFill="1" applyBorder="1" applyAlignment="1">
      <alignment horizontal="left" vertical="top" wrapText="1"/>
    </xf>
    <xf numFmtId="0" fontId="12" fillId="3" borderId="14" xfId="0" applyFont="1" applyFill="1" applyBorder="1" applyAlignment="1">
      <alignment horizontal="left" vertical="top" wrapText="1"/>
    </xf>
    <xf numFmtId="0" fontId="12" fillId="3" borderId="15" xfId="0" applyFont="1" applyFill="1" applyBorder="1" applyAlignment="1">
      <alignment horizontal="left" vertical="top" wrapText="1"/>
    </xf>
    <xf numFmtId="0" fontId="12" fillId="3" borderId="16" xfId="0" applyFont="1" applyFill="1" applyBorder="1" applyAlignment="1">
      <alignment horizontal="left" vertical="top" wrapText="1"/>
    </xf>
    <xf numFmtId="0" fontId="2" fillId="6" borderId="19" xfId="0" applyFont="1" applyFill="1" applyBorder="1" applyAlignment="1">
      <alignment horizontal="center" wrapText="1"/>
    </xf>
    <xf numFmtId="0" fontId="2" fillId="6" borderId="20" xfId="0" applyFont="1" applyFill="1" applyBorder="1" applyAlignment="1">
      <alignment horizontal="center" wrapText="1"/>
    </xf>
    <xf numFmtId="0" fontId="7" fillId="10" borderId="17" xfId="0" applyFont="1" applyFill="1" applyBorder="1" applyAlignment="1">
      <alignment horizontal="left" vertical="top" wrapText="1"/>
    </xf>
    <xf numFmtId="0" fontId="7" fillId="10" borderId="0" xfId="0" applyFont="1" applyFill="1" applyAlignment="1">
      <alignment horizontal="left" vertical="top" wrapText="1"/>
    </xf>
    <xf numFmtId="0" fontId="12" fillId="3" borderId="8" xfId="0" applyFont="1" applyFill="1" applyBorder="1" applyAlignment="1">
      <alignment horizontal="left" vertical="top" wrapText="1"/>
    </xf>
    <xf numFmtId="0" fontId="12" fillId="3" borderId="41" xfId="0" applyFont="1" applyFill="1" applyBorder="1" applyAlignment="1">
      <alignment horizontal="left" vertical="top" wrapText="1"/>
    </xf>
    <xf numFmtId="0" fontId="12" fillId="3" borderId="7" xfId="0" applyFont="1" applyFill="1" applyBorder="1" applyAlignment="1">
      <alignment horizontal="left" vertical="top" wrapText="1"/>
    </xf>
    <xf numFmtId="0" fontId="12" fillId="3" borderId="39" xfId="0" applyFont="1" applyFill="1" applyBorder="1" applyAlignment="1">
      <alignment horizontal="left" vertical="top" wrapText="1"/>
    </xf>
    <xf numFmtId="0" fontId="12" fillId="3" borderId="37" xfId="0" applyFont="1" applyFill="1" applyBorder="1" applyAlignment="1">
      <alignment horizontal="left" vertical="top" wrapText="1"/>
    </xf>
    <xf numFmtId="0" fontId="17" fillId="4" borderId="17" xfId="0" applyFont="1" applyFill="1" applyBorder="1" applyAlignment="1">
      <alignment horizontal="center" vertical="center" wrapText="1"/>
    </xf>
    <xf numFmtId="0" fontId="17" fillId="4" borderId="0" xfId="0" applyFont="1" applyFill="1" applyAlignment="1">
      <alignment horizontal="center" vertical="center" wrapText="1"/>
    </xf>
    <xf numFmtId="0" fontId="11" fillId="4" borderId="17" xfId="0" applyFont="1" applyFill="1" applyBorder="1" applyAlignment="1">
      <alignment horizontal="center" vertical="center" wrapText="1"/>
    </xf>
    <xf numFmtId="0" fontId="11" fillId="4" borderId="0" xfId="0" applyFont="1" applyFill="1" applyAlignment="1">
      <alignment horizontal="center" vertical="center" wrapText="1"/>
    </xf>
    <xf numFmtId="0" fontId="10" fillId="11" borderId="12" xfId="0" applyFont="1" applyFill="1" applyBorder="1" applyAlignment="1">
      <alignment horizontal="left" vertical="top" wrapText="1"/>
    </xf>
    <xf numFmtId="0" fontId="10" fillId="11" borderId="0" xfId="0" applyFont="1" applyFill="1" applyAlignment="1">
      <alignment horizontal="left" vertical="top" wrapText="1"/>
    </xf>
    <xf numFmtId="0" fontId="16" fillId="3" borderId="11" xfId="0" applyFont="1" applyFill="1" applyBorder="1" applyAlignment="1">
      <alignment horizontal="left" vertical="top" wrapText="1"/>
    </xf>
    <xf numFmtId="0" fontId="16" fillId="3" borderId="12" xfId="0" applyFont="1" applyFill="1" applyBorder="1" applyAlignment="1">
      <alignment horizontal="left" vertical="top" wrapText="1"/>
    </xf>
    <xf numFmtId="0" fontId="16" fillId="3" borderId="13" xfId="0" applyFont="1" applyFill="1" applyBorder="1" applyAlignment="1">
      <alignment horizontal="left" vertical="top" wrapText="1"/>
    </xf>
    <xf numFmtId="0" fontId="16" fillId="3" borderId="17" xfId="0" applyFont="1" applyFill="1" applyBorder="1" applyAlignment="1">
      <alignment horizontal="left" vertical="top" wrapText="1"/>
    </xf>
    <xf numFmtId="0" fontId="16" fillId="3" borderId="0" xfId="0" applyFont="1" applyFill="1" applyAlignment="1">
      <alignment horizontal="left" vertical="top" wrapText="1"/>
    </xf>
    <xf numFmtId="0" fontId="16" fillId="3" borderId="18" xfId="0" applyFont="1" applyFill="1" applyBorder="1" applyAlignment="1">
      <alignment horizontal="left" vertical="top" wrapText="1"/>
    </xf>
    <xf numFmtId="0" fontId="16" fillId="3" borderId="14" xfId="0" applyFont="1" applyFill="1" applyBorder="1" applyAlignment="1">
      <alignment horizontal="left" vertical="top" wrapText="1"/>
    </xf>
    <xf numFmtId="0" fontId="16" fillId="3" borderId="15" xfId="0" applyFont="1" applyFill="1" applyBorder="1" applyAlignment="1">
      <alignment horizontal="left" vertical="top" wrapText="1"/>
    </xf>
    <xf numFmtId="0" fontId="16" fillId="3" borderId="16" xfId="0" applyFont="1" applyFill="1" applyBorder="1" applyAlignment="1">
      <alignment horizontal="left" vertical="top" wrapText="1"/>
    </xf>
    <xf numFmtId="0" fontId="11" fillId="9" borderId="17" xfId="0" applyFont="1" applyFill="1" applyBorder="1" applyAlignment="1">
      <alignment horizontal="center" vertical="center" wrapText="1"/>
    </xf>
    <xf numFmtId="0" fontId="11" fillId="9" borderId="0" xfId="0" applyFont="1" applyFill="1" applyAlignment="1">
      <alignment horizontal="center" vertical="center" wrapText="1"/>
    </xf>
    <xf numFmtId="0" fontId="20" fillId="9" borderId="17" xfId="0" applyFont="1" applyFill="1" applyBorder="1" applyAlignment="1">
      <alignment horizontal="center" vertical="center" wrapText="1"/>
    </xf>
    <xf numFmtId="0" fontId="20" fillId="9" borderId="0" xfId="0" applyFont="1" applyFill="1" applyAlignment="1">
      <alignment horizontal="center" vertical="center" wrapText="1"/>
    </xf>
    <xf numFmtId="0" fontId="6" fillId="9" borderId="31" xfId="0" applyFont="1" applyFill="1" applyBorder="1" applyAlignment="1">
      <alignment horizontal="center" wrapText="1"/>
    </xf>
    <xf numFmtId="0" fontId="6" fillId="9" borderId="32" xfId="0" applyFont="1" applyFill="1" applyBorder="1" applyAlignment="1">
      <alignment horizontal="center" wrapText="1"/>
    </xf>
    <xf numFmtId="0" fontId="9" fillId="11" borderId="11" xfId="0" applyFont="1" applyFill="1" applyBorder="1" applyAlignment="1">
      <alignment horizontal="left" vertical="top" wrapText="1"/>
    </xf>
    <xf numFmtId="0" fontId="9" fillId="11" borderId="12" xfId="0" applyFont="1" applyFill="1" applyBorder="1" applyAlignment="1">
      <alignment horizontal="left" vertical="top" wrapText="1"/>
    </xf>
    <xf numFmtId="0" fontId="9" fillId="11" borderId="13" xfId="0" applyFont="1" applyFill="1" applyBorder="1" applyAlignment="1">
      <alignment horizontal="left" vertical="top" wrapText="1"/>
    </xf>
    <xf numFmtId="0" fontId="9" fillId="11" borderId="17" xfId="0" applyFont="1" applyFill="1" applyBorder="1" applyAlignment="1">
      <alignment horizontal="left" vertical="top" wrapText="1"/>
    </xf>
    <xf numFmtId="0" fontId="9" fillId="11" borderId="0" xfId="0" applyFont="1" applyFill="1" applyAlignment="1">
      <alignment horizontal="left" vertical="top" wrapText="1"/>
    </xf>
    <xf numFmtId="0" fontId="9" fillId="11" borderId="18" xfId="0" applyFont="1" applyFill="1" applyBorder="1" applyAlignment="1">
      <alignment horizontal="left" vertical="top" wrapText="1"/>
    </xf>
    <xf numFmtId="0" fontId="9" fillId="11" borderId="14" xfId="0" applyFont="1" applyFill="1" applyBorder="1" applyAlignment="1">
      <alignment horizontal="left" vertical="top" wrapText="1"/>
    </xf>
    <xf numFmtId="0" fontId="9" fillId="11" borderId="15" xfId="0" applyFont="1" applyFill="1" applyBorder="1" applyAlignment="1">
      <alignment horizontal="left" vertical="top" wrapText="1"/>
    </xf>
    <xf numFmtId="0" fontId="9" fillId="11" borderId="16" xfId="0" applyFont="1" applyFill="1" applyBorder="1" applyAlignment="1">
      <alignment horizontal="left" vertical="top" wrapText="1"/>
    </xf>
    <xf numFmtId="0" fontId="4" fillId="9" borderId="19" xfId="0" applyFont="1" applyFill="1" applyBorder="1" applyAlignment="1">
      <alignment horizontal="center" wrapText="1"/>
    </xf>
    <xf numFmtId="0" fontId="4" fillId="9" borderId="20" xfId="0" applyFont="1" applyFill="1" applyBorder="1" applyAlignment="1">
      <alignment horizontal="center" wrapText="1"/>
    </xf>
    <xf numFmtId="0" fontId="1" fillId="9" borderId="31" xfId="0" applyFont="1" applyFill="1" applyBorder="1" applyAlignment="1">
      <alignment horizontal="center" wrapText="1"/>
    </xf>
    <xf numFmtId="0" fontId="1" fillId="9" borderId="32" xfId="0" applyFont="1" applyFill="1" applyBorder="1" applyAlignment="1">
      <alignment horizontal="center" wrapText="1"/>
    </xf>
    <xf numFmtId="0" fontId="3" fillId="13" borderId="6" xfId="0" applyFont="1" applyFill="1" applyBorder="1" applyAlignment="1">
      <alignment horizontal="center" wrapText="1"/>
    </xf>
    <xf numFmtId="0" fontId="3" fillId="13" borderId="40" xfId="0" applyFont="1" applyFill="1" applyBorder="1" applyAlignment="1">
      <alignment horizontal="center" wrapText="1"/>
    </xf>
    <xf numFmtId="0" fontId="3" fillId="13" borderId="5" xfId="0" applyFont="1" applyFill="1" applyBorder="1" applyAlignment="1">
      <alignment horizontal="center" wrapText="1"/>
    </xf>
    <xf numFmtId="0" fontId="2" fillId="13" borderId="9" xfId="0" applyFont="1" applyFill="1" applyBorder="1" applyAlignment="1">
      <alignment horizontal="center" vertical="center" wrapText="1"/>
    </xf>
    <xf numFmtId="0" fontId="2" fillId="13" borderId="36" xfId="0" applyFont="1" applyFill="1" applyBorder="1" applyAlignment="1">
      <alignment horizontal="center" vertical="center" wrapText="1"/>
    </xf>
    <xf numFmtId="0" fontId="2" fillId="13" borderId="35" xfId="0" applyFont="1" applyFill="1" applyBorder="1" applyAlignment="1">
      <alignment horizontal="center" vertical="center" wrapText="1"/>
    </xf>
    <xf numFmtId="0" fontId="2" fillId="14" borderId="41" xfId="0" applyFont="1" applyFill="1" applyBorder="1" applyAlignment="1">
      <alignment horizontal="center" vertical="center" wrapText="1"/>
    </xf>
    <xf numFmtId="0" fontId="21" fillId="0" borderId="0" xfId="0" applyFont="1" applyAlignment="1">
      <alignment horizontal="center" wrapText="1"/>
    </xf>
    <xf numFmtId="0" fontId="4" fillId="4" borderId="6" xfId="0" applyFont="1" applyFill="1" applyBorder="1" applyAlignment="1">
      <alignment horizontal="center" wrapText="1"/>
    </xf>
    <xf numFmtId="0" fontId="4" fillId="4" borderId="5" xfId="0" applyFont="1" applyFill="1" applyBorder="1" applyAlignment="1">
      <alignment horizontal="center" wrapText="1"/>
    </xf>
    <xf numFmtId="0" fontId="4" fillId="4" borderId="2" xfId="0" applyFont="1" applyFill="1" applyBorder="1" applyAlignment="1">
      <alignment horizontal="center" wrapText="1"/>
    </xf>
    <xf numFmtId="0" fontId="23" fillId="0" borderId="8" xfId="0" applyFont="1" applyBorder="1" applyAlignment="1">
      <alignment horizontal="center" vertical="center"/>
    </xf>
    <xf numFmtId="0" fontId="23" fillId="0" borderId="7" xfId="0" applyFont="1" applyBorder="1" applyAlignment="1">
      <alignment horizontal="center" vertical="center"/>
    </xf>
    <xf numFmtId="0" fontId="23" fillId="0" borderId="4" xfId="0" applyFont="1" applyBorder="1" applyAlignment="1">
      <alignment horizontal="center" vertical="center"/>
    </xf>
    <xf numFmtId="0" fontId="23" fillId="0" borderId="3" xfId="0" applyFont="1" applyBorder="1" applyAlignment="1">
      <alignment horizontal="center" vertical="center"/>
    </xf>
    <xf numFmtId="0" fontId="0" fillId="0" borderId="2" xfId="0" applyBorder="1" applyAlignment="1">
      <alignment horizontal="center" vertical="center"/>
    </xf>
    <xf numFmtId="0" fontId="0" fillId="0" borderId="8" xfId="0" applyBorder="1" applyAlignment="1">
      <alignment horizontal="center" vertical="center"/>
    </xf>
    <xf numFmtId="0" fontId="0" fillId="0" borderId="7"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11" fillId="15" borderId="0" xfId="0" applyFont="1" applyFill="1" applyAlignment="1">
      <alignment horizontal="center" vertical="center"/>
    </xf>
    <xf numFmtId="0" fontId="1" fillId="4" borderId="2" xfId="0" applyFont="1" applyFill="1" applyBorder="1" applyAlignment="1">
      <alignment horizontal="center"/>
    </xf>
    <xf numFmtId="0" fontId="11" fillId="4" borderId="0" xfId="0" applyFont="1" applyFill="1" applyAlignment="1">
      <alignment horizontal="center" vertical="center"/>
    </xf>
    <xf numFmtId="0" fontId="0" fillId="0" borderId="39" xfId="0" applyBorder="1" applyAlignment="1"/>
    <xf numFmtId="0" fontId="0" fillId="0" borderId="0" xfId="0" applyAlignment="1"/>
    <xf numFmtId="0" fontId="0" fillId="0" borderId="2" xfId="0" applyBorder="1" applyAlignment="1">
      <alignment horizontal="center"/>
    </xf>
    <xf numFmtId="165" fontId="0" fillId="0" borderId="2" xfId="0" applyNumberFormat="1" applyBorder="1" applyAlignment="1">
      <alignment horizontal="center"/>
    </xf>
    <xf numFmtId="9" fontId="0" fillId="0" borderId="2" xfId="0" applyNumberFormat="1" applyBorder="1" applyAlignment="1">
      <alignment horizontal="center" vertical="center" wrapText="1"/>
    </xf>
  </cellXfs>
  <cellStyles count="1">
    <cellStyle name="Normal" xfId="0" builtinId="0"/>
  </cellStyles>
  <dxfs count="33">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FF00"/>
        </patternFill>
      </fill>
      <border>
        <left style="thin">
          <color auto="1"/>
        </left>
        <right style="thin">
          <color auto="1"/>
        </right>
        <top style="thin">
          <color auto="1"/>
        </top>
        <bottom style="thin">
          <color auto="1"/>
        </bottom>
        <vertical/>
        <horizontal/>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8989"/>
      <color rgb="FFFF6743"/>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400"/>
              <a:t>NPV vs Utilization</a:t>
            </a:r>
          </a:p>
        </c:rich>
      </c:tx>
      <c:overlay val="0"/>
      <c:spPr>
        <a:noFill/>
        <a:ln>
          <a:noFill/>
        </a:ln>
        <a:effectLst/>
      </c:spPr>
      <c:txPr>
        <a:bodyPr rot="0" spcFirstLastPara="1" vertOverflow="ellipsis" vert="horz" wrap="square" anchor="ctr" anchorCtr="1"/>
        <a:lstStyle/>
        <a:p>
          <a:pPr>
            <a:defRPr sz="2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6.065388374604052E-2"/>
          <c:y val="5.5351509488843556E-2"/>
          <c:w val="0.91335042498861407"/>
          <c:h val="0.89319133704531051"/>
        </c:manualLayout>
      </c:layout>
      <c:lineChart>
        <c:grouping val="standard"/>
        <c:varyColors val="0"/>
        <c:ser>
          <c:idx val="0"/>
          <c:order val="0"/>
          <c:tx>
            <c:strRef>
              <c:f>'RI Utilization Sensitivit'!$E$14</c:f>
              <c:strCache>
                <c:ptCount val="1"/>
                <c:pt idx="0">
                  <c:v>NPV</c:v>
                </c:pt>
              </c:strCache>
            </c:strRef>
          </c:tx>
          <c:spPr>
            <a:ln w="34925" cap="rnd">
              <a:solidFill>
                <a:schemeClr val="accent4">
                  <a:lumMod val="60000"/>
                  <a:lumOff val="40000"/>
                </a:schemeClr>
              </a:solidFill>
              <a:round/>
            </a:ln>
            <a:effectLst>
              <a:outerShdw blurRad="57150" dist="19050" dir="5400000" algn="ctr" rotWithShape="0">
                <a:srgbClr val="000000">
                  <a:alpha val="63000"/>
                </a:srgbClr>
              </a:outerShdw>
            </a:effectLst>
          </c:spPr>
          <c:marker>
            <c:symbol val="none"/>
          </c:marker>
          <c:dLbls>
            <c:dLbl>
              <c:idx val="4"/>
              <c:layout>
                <c:manualLayout>
                  <c:x val="-7.1488150979699822E-2"/>
                  <c:y val="3.90277350779706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34A-48B9-B4F4-023D44A29F27}"/>
                </c:ext>
              </c:extLst>
            </c:dLbl>
            <c:spPr>
              <a:solidFill>
                <a:schemeClr val="accent2"/>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'RI Utilization Sensitivit'!$D$15:$D$21</c:f>
              <c:numCache>
                <c:formatCode>0.00%</c:formatCode>
                <c:ptCount val="7"/>
                <c:pt idx="0">
                  <c:v>1</c:v>
                </c:pt>
                <c:pt idx="1">
                  <c:v>0.9</c:v>
                </c:pt>
                <c:pt idx="2">
                  <c:v>0.8</c:v>
                </c:pt>
                <c:pt idx="3">
                  <c:v>0.7</c:v>
                </c:pt>
                <c:pt idx="4">
                  <c:v>0.6</c:v>
                </c:pt>
                <c:pt idx="5">
                  <c:v>0.5</c:v>
                </c:pt>
                <c:pt idx="6">
                  <c:v>0.4</c:v>
                </c:pt>
              </c:numCache>
            </c:numRef>
          </c:cat>
          <c:val>
            <c:numRef>
              <c:f>'RI Utilization Sensitivit'!$E$15:$E$21</c:f>
              <c:numCache>
                <c:formatCode>#,##0.00,\ "K"</c:formatCode>
                <c:ptCount val="7"/>
                <c:pt idx="0">
                  <c:v>17972.802404207359</c:v>
                </c:pt>
                <c:pt idx="1">
                  <c:v>14481.893313298267</c:v>
                </c:pt>
                <c:pt idx="2">
                  <c:v>10118.256949661905</c:v>
                </c:pt>
                <c:pt idx="3">
                  <c:v>4507.867339272294</c:v>
                </c:pt>
                <c:pt idx="4">
                  <c:v>-2972.6521412471866</c:v>
                </c:pt>
                <c:pt idx="5">
                  <c:v>-13445.379413974464</c:v>
                </c:pt>
                <c:pt idx="6">
                  <c:v>-29154.470323065369</c:v>
                </c:pt>
              </c:numCache>
            </c:numRef>
          </c:val>
          <c:smooth val="0"/>
          <c:extLst>
            <c:ext xmlns:c16="http://schemas.microsoft.com/office/drawing/2014/chart" uri="{C3380CC4-5D6E-409C-BE32-E72D297353CC}">
              <c16:uniqueId val="{00000000-534A-48B9-B4F4-023D44A29F27}"/>
            </c:ext>
          </c:extLst>
        </c:ser>
        <c:dLbls>
          <c:showLegendKey val="0"/>
          <c:showVal val="0"/>
          <c:showCatName val="0"/>
          <c:showSerName val="0"/>
          <c:showPercent val="0"/>
          <c:showBubbleSize val="0"/>
        </c:dLbls>
        <c:smooth val="0"/>
        <c:axId val="2005171520"/>
        <c:axId val="2005169600"/>
      </c:lineChart>
      <c:catAx>
        <c:axId val="2005171520"/>
        <c:scaling>
          <c:orientation val="minMax"/>
        </c:scaling>
        <c:delete val="0"/>
        <c:axPos val="b"/>
        <c:numFmt formatCode="0.00%" sourceLinked="1"/>
        <c:majorTickMark val="none"/>
        <c:minorTickMark val="none"/>
        <c:tickLblPos val="nextTo"/>
        <c:spPr>
          <a:solidFill>
            <a:schemeClr val="bg1"/>
          </a:solid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400" b="1" i="0" u="none" strike="noStrike" kern="1200" baseline="0">
                <a:solidFill>
                  <a:schemeClr val="accent1">
                    <a:lumMod val="50000"/>
                  </a:schemeClr>
                </a:solidFill>
                <a:latin typeface="+mn-lt"/>
                <a:ea typeface="+mn-ea"/>
                <a:cs typeface="+mn-cs"/>
              </a:defRPr>
            </a:pPr>
            <a:endParaRPr lang="en-US"/>
          </a:p>
        </c:txPr>
        <c:crossAx val="2005169600"/>
        <c:crosses val="autoZero"/>
        <c:auto val="1"/>
        <c:lblAlgn val="ctr"/>
        <c:lblOffset val="100"/>
        <c:noMultiLvlLbl val="0"/>
      </c:catAx>
      <c:valAx>
        <c:axId val="2005169600"/>
        <c:scaling>
          <c:orientation val="minMax"/>
        </c:scaling>
        <c:delete val="0"/>
        <c:axPos val="l"/>
        <c:majorGridlines>
          <c:spPr>
            <a:ln w="9525" cap="flat" cmpd="sng" algn="ctr">
              <a:solidFill>
                <a:schemeClr val="lt1">
                  <a:lumMod val="95000"/>
                  <a:alpha val="10000"/>
                </a:schemeClr>
              </a:solidFill>
              <a:round/>
            </a:ln>
            <a:effectLst/>
          </c:spPr>
        </c:majorGridlines>
        <c:numFmt formatCode="#,##0.00,\ &quot;K&quot;"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200517152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Utlization% vs NPV</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 vs Savings Plans vs PAYG'!$E$37:$E$44</c:f>
              <c:strCache>
                <c:ptCount val="8"/>
                <c:pt idx="0">
                  <c:v>Utilization %</c:v>
                </c:pt>
                <c:pt idx="1">
                  <c:v>40%</c:v>
                </c:pt>
                <c:pt idx="2">
                  <c:v>50%</c:v>
                </c:pt>
                <c:pt idx="3">
                  <c:v>60%</c:v>
                </c:pt>
                <c:pt idx="4">
                  <c:v>70%</c:v>
                </c:pt>
                <c:pt idx="5">
                  <c:v>80%</c:v>
                </c:pt>
                <c:pt idx="6">
                  <c:v>90%</c:v>
                </c:pt>
                <c:pt idx="7">
                  <c:v>100%</c:v>
                </c:pt>
              </c:strCache>
            </c:strRef>
          </c:cat>
          <c:val>
            <c:numRef>
              <c:f>'RI vs Savings Plans vs PAYG'!$F$37:$F$44</c:f>
              <c:numCache>
                <c:formatCode>#,##0.00,\ "K"</c:formatCode>
                <c:ptCount val="8"/>
                <c:pt idx="0">
                  <c:v>-63922.043576258453</c:v>
                </c:pt>
                <c:pt idx="1">
                  <c:v>-36526.882043576261</c:v>
                </c:pt>
                <c:pt idx="2">
                  <c:v>-45658.602554470323</c:v>
                </c:pt>
                <c:pt idx="3">
                  <c:v>-54790.323065364377</c:v>
                </c:pt>
                <c:pt idx="4">
                  <c:v>-63922.043576258453</c:v>
                </c:pt>
                <c:pt idx="5">
                  <c:v>-73053.764087152522</c:v>
                </c:pt>
                <c:pt idx="6">
                  <c:v>-82185.484598046576</c:v>
                </c:pt>
                <c:pt idx="7">
                  <c:v>-91317.205108940645</c:v>
                </c:pt>
              </c:numCache>
            </c:numRef>
          </c:val>
          <c:smooth val="0"/>
          <c:extLst>
            <c:ext xmlns:c16="http://schemas.microsoft.com/office/drawing/2014/chart" uri="{C3380CC4-5D6E-409C-BE32-E72D297353CC}">
              <c16:uniqueId val="{00000000-187B-485A-A41C-95A184B27D69}"/>
            </c:ext>
          </c:extLst>
        </c:ser>
        <c:dLbls>
          <c:dLblPos val="ctr"/>
          <c:showLegendKey val="0"/>
          <c:showVal val="1"/>
          <c:showCatName val="0"/>
          <c:showSerName val="0"/>
          <c:showPercent val="0"/>
          <c:showBubbleSize val="0"/>
        </c:dLbls>
        <c:smooth val="0"/>
        <c:axId val="743207807"/>
        <c:axId val="743208767"/>
      </c:lineChart>
      <c:catAx>
        <c:axId val="74320780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Utilization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3208767"/>
        <c:crosses val="autoZero"/>
        <c:auto val="1"/>
        <c:lblAlgn val="ctr"/>
        <c:lblOffset val="100"/>
        <c:noMultiLvlLbl val="0"/>
      </c:catAx>
      <c:valAx>
        <c:axId val="743208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NPV</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32078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ABD1098D-0120-4E4C-B614-46EF37BAB212}">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5</xdr:col>
      <xdr:colOff>186611</xdr:colOff>
      <xdr:row>11</xdr:row>
      <xdr:rowOff>86306</xdr:rowOff>
    </xdr:from>
    <xdr:to>
      <xdr:col>18</xdr:col>
      <xdr:colOff>283028</xdr:colOff>
      <xdr:row>50</xdr:row>
      <xdr:rowOff>10885</xdr:rowOff>
    </xdr:to>
    <xdr:graphicFrame macro="">
      <xdr:nvGraphicFramePr>
        <xdr:cNvPr id="2" name="Chart 1">
          <a:extLst>
            <a:ext uri="{FF2B5EF4-FFF2-40B4-BE49-F238E27FC236}">
              <a16:creationId xmlns:a16="http://schemas.microsoft.com/office/drawing/2014/main" id="{5492FF95-84B3-9AF3-7265-A3514E196F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601580</xdr:colOff>
      <xdr:row>23</xdr:row>
      <xdr:rowOff>30078</xdr:rowOff>
    </xdr:from>
    <xdr:ext cx="2596816" cy="342851"/>
    <xdr:sp macro="" textlink="">
      <xdr:nvSpPr>
        <xdr:cNvPr id="3" name="TextBox 2">
          <a:extLst>
            <a:ext uri="{FF2B5EF4-FFF2-40B4-BE49-F238E27FC236}">
              <a16:creationId xmlns:a16="http://schemas.microsoft.com/office/drawing/2014/main" id="{056B674F-4359-40D1-5974-A756CDCABED8}"/>
            </a:ext>
          </a:extLst>
        </xdr:cNvPr>
        <xdr:cNvSpPr txBox="1"/>
      </xdr:nvSpPr>
      <xdr:spPr>
        <a:xfrm>
          <a:off x="6416843" y="8221578"/>
          <a:ext cx="2596816" cy="342851"/>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t>Column input cell → </a:t>
          </a:r>
          <a:r>
            <a:rPr lang="en-IN" sz="1600" b="1">
              <a:solidFill>
                <a:schemeClr val="tx1"/>
              </a:solidFill>
              <a:latin typeface="+mn-lt"/>
              <a:ea typeface="+mn-ea"/>
              <a:cs typeface="+mn-cs"/>
            </a:rPr>
            <a:t>$B$19</a:t>
          </a:r>
          <a:endParaRPr lang="en-IN" sz="1600" b="1"/>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3</xdr:row>
      <xdr:rowOff>121920</xdr:rowOff>
    </xdr:from>
    <xdr:ext cx="13845540" cy="4472940"/>
    <xdr:sp macro="" textlink="">
      <xdr:nvSpPr>
        <xdr:cNvPr id="2" name="TextBox 1">
          <a:extLst>
            <a:ext uri="{FF2B5EF4-FFF2-40B4-BE49-F238E27FC236}">
              <a16:creationId xmlns:a16="http://schemas.microsoft.com/office/drawing/2014/main" id="{ED35621D-DB98-598D-2BE1-D9519AC55142}"/>
            </a:ext>
          </a:extLst>
        </xdr:cNvPr>
        <xdr:cNvSpPr txBox="1"/>
      </xdr:nvSpPr>
      <xdr:spPr>
        <a:xfrm>
          <a:off x="0" y="716280"/>
          <a:ext cx="13845540" cy="447294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a:t>📘 </a:t>
          </a:r>
          <a:r>
            <a:rPr lang="en-IN" sz="1400" b="1"/>
            <a:t>Problem Statement - Case 4: Sensitivity Analysis: Annual Optimized Cost vs. Peak and Off-Peak VM Demand</a:t>
          </a:r>
          <a:endParaRPr lang="en-IN" sz="1400"/>
        </a:p>
        <a:p>
          <a:r>
            <a:rPr lang="en-IN" sz="1400"/>
            <a:t>In many enterprise cloud environments, VMs are sized for peak demand and run at fixed capacity 24/7 to avoid performance issues. While this ensures availability, it often results in over-provisioning and idle capacity during off-peak hours, driving up unnecessary costs.</a:t>
          </a:r>
        </a:p>
        <a:p>
          <a:r>
            <a:rPr lang="en-IN" sz="1400" b="1"/>
            <a:t>We need to analyze:</a:t>
          </a:r>
        </a:p>
        <a:p>
          <a:r>
            <a:rPr lang="en-IN" sz="1400"/>
            <a:t>Right-sizing VM SKUs based on usage patterns.</a:t>
          </a:r>
        </a:p>
        <a:p>
          <a:r>
            <a:rPr lang="en-IN" sz="1400"/>
            <a:t>Auto-scaling VM count for peak and off-peak demand.</a:t>
          </a:r>
        </a:p>
        <a:p>
          <a:r>
            <a:rPr lang="en-IN" sz="1400" b="1"/>
            <a:t>Current state:</a:t>
          </a:r>
        </a:p>
        <a:p>
          <a:r>
            <a:rPr lang="en-IN" sz="1400"/>
            <a:t>Fixed VMs running 24/7 at peak size.</a:t>
          </a:r>
        </a:p>
        <a:p>
          <a:r>
            <a:rPr lang="en-IN" sz="1400"/>
            <a:t>Pay-As-You-Go pricing.</a:t>
          </a:r>
        </a:p>
        <a:p>
          <a:r>
            <a:rPr lang="en-IN" sz="1400"/>
            <a:t>Low average utilization compared to provisioned capacity.</a:t>
          </a:r>
        </a:p>
        <a:p>
          <a:r>
            <a:rPr lang="en-IN" sz="1400" b="1"/>
            <a:t>Analysis objectives:</a:t>
          </a:r>
        </a:p>
        <a:p>
          <a:r>
            <a:rPr lang="en-IN" sz="1400"/>
            <a:t>Calculate cost reduction from right-sizing alone.</a:t>
          </a:r>
        </a:p>
        <a:p>
          <a:r>
            <a:rPr lang="en-IN" sz="1400"/>
            <a:t>Assess additional savings from auto-scaling.</a:t>
          </a:r>
        </a:p>
        <a:p>
          <a:r>
            <a:rPr lang="en-IN" sz="1400"/>
            <a:t>Determine the most cost-effective strategy over multiple years.</a:t>
          </a:r>
        </a:p>
        <a:p>
          <a:r>
            <a:rPr lang="en-IN" sz="1400" b="1"/>
            <a:t>The goal is to build a financial model comparing:</a:t>
          </a:r>
        </a:p>
        <a:p>
          <a:r>
            <a:rPr lang="en-IN" sz="1400"/>
            <a:t>Baseline (no optimization)</a:t>
          </a:r>
        </a:p>
        <a:p>
          <a:r>
            <a:rPr lang="en-IN" sz="1400"/>
            <a:t>Right-sizing only</a:t>
          </a:r>
        </a:p>
        <a:p>
          <a:r>
            <a:rPr lang="en-IN" sz="1400"/>
            <a:t>Right-sizing + auto-scaling</a:t>
          </a:r>
        </a:p>
        <a:p>
          <a:r>
            <a:rPr lang="en-IN" sz="1400"/>
            <a:t>This will quantify annual savings and NPV of savings to inform data-driven architecture and FinOps decisions.</a:t>
          </a:r>
        </a:p>
      </xdr:txBody>
    </xdr:sp>
    <xdr:clientData/>
  </xdr:oneCellAnchor>
  <xdr:oneCellAnchor>
    <xdr:from>
      <xdr:col>3</xdr:col>
      <xdr:colOff>216497</xdr:colOff>
      <xdr:row>65</xdr:row>
      <xdr:rowOff>64098</xdr:rowOff>
    </xdr:from>
    <xdr:ext cx="1908471" cy="280205"/>
    <xdr:sp macro="" textlink="">
      <xdr:nvSpPr>
        <xdr:cNvPr id="7" name="TextBox 6">
          <a:extLst>
            <a:ext uri="{FF2B5EF4-FFF2-40B4-BE49-F238E27FC236}">
              <a16:creationId xmlns:a16="http://schemas.microsoft.com/office/drawing/2014/main" id="{5BB35F77-5CA6-43E5-BA9C-BD59C1C064FC}"/>
            </a:ext>
          </a:extLst>
        </xdr:cNvPr>
        <xdr:cNvSpPr txBox="1"/>
      </xdr:nvSpPr>
      <xdr:spPr>
        <a:xfrm>
          <a:off x="3119717" y="15067878"/>
          <a:ext cx="1908471" cy="280205"/>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t>= SUM(PV_Year1:PV_Year3)</a:t>
          </a:r>
        </a:p>
      </xdr:txBody>
    </xdr:sp>
    <xdr:clientData/>
  </xdr:oneCellAnchor>
  <xdr:oneCellAnchor>
    <xdr:from>
      <xdr:col>14</xdr:col>
      <xdr:colOff>259080</xdr:colOff>
      <xdr:row>32</xdr:row>
      <xdr:rowOff>68580</xdr:rowOff>
    </xdr:from>
    <xdr:ext cx="2834640" cy="1508760"/>
    <xdr:sp macro="" textlink="">
      <xdr:nvSpPr>
        <xdr:cNvPr id="8" name="TextBox 7">
          <a:extLst>
            <a:ext uri="{FF2B5EF4-FFF2-40B4-BE49-F238E27FC236}">
              <a16:creationId xmlns:a16="http://schemas.microsoft.com/office/drawing/2014/main" id="{7E46F27C-1755-6E5C-BA81-E58C623D5ADD}"/>
            </a:ext>
          </a:extLst>
        </xdr:cNvPr>
        <xdr:cNvSpPr txBox="1"/>
      </xdr:nvSpPr>
      <xdr:spPr>
        <a:xfrm>
          <a:off x="10972800" y="5966460"/>
          <a:ext cx="2834640" cy="150876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t>Baseline Annual Cost</a:t>
          </a:r>
          <a:r>
            <a:rPr lang="en-IN" sz="1200"/>
            <a:t> → </a:t>
          </a:r>
          <a:r>
            <a:rPr lang="en-IN" sz="1200">
              <a:solidFill>
                <a:schemeClr val="tx1"/>
              </a:solidFill>
              <a:latin typeface="+mn-lt"/>
              <a:ea typeface="+mn-ea"/>
              <a:cs typeface="+mn-cs"/>
            </a:rPr>
            <a:t>B54</a:t>
          </a:r>
          <a:endParaRPr lang="en-IN" sz="1200"/>
        </a:p>
        <a:p>
          <a:r>
            <a:rPr lang="en-IN" sz="1200" b="1"/>
            <a:t>Auto-Scaled Annual Cost</a:t>
          </a:r>
          <a:r>
            <a:rPr lang="en-IN" sz="1200"/>
            <a:t> → </a:t>
          </a:r>
          <a:r>
            <a:rPr lang="en-IN" sz="1200">
              <a:solidFill>
                <a:schemeClr val="tx1"/>
              </a:solidFill>
              <a:latin typeface="+mn-lt"/>
              <a:ea typeface="+mn-ea"/>
              <a:cs typeface="+mn-cs"/>
            </a:rPr>
            <a:t>B56</a:t>
          </a:r>
          <a:endParaRPr lang="en-IN" sz="1200"/>
        </a:p>
        <a:p>
          <a:r>
            <a:rPr lang="en-IN" sz="1200" b="1"/>
            <a:t>Peak VMs</a:t>
          </a:r>
          <a:r>
            <a:rPr lang="en-IN" sz="1200"/>
            <a:t> → </a:t>
          </a:r>
          <a:r>
            <a:rPr lang="en-IN" sz="1200">
              <a:solidFill>
                <a:schemeClr val="tx1"/>
              </a:solidFill>
              <a:latin typeface="+mn-lt"/>
              <a:ea typeface="+mn-ea"/>
              <a:cs typeface="+mn-cs"/>
            </a:rPr>
            <a:t>B42</a:t>
          </a:r>
          <a:endParaRPr lang="en-IN" sz="1200"/>
        </a:p>
        <a:p>
          <a:r>
            <a:rPr lang="en-IN" sz="1200" b="1"/>
            <a:t>Off-Peak VMs</a:t>
          </a:r>
          <a:r>
            <a:rPr lang="en-IN" sz="1200"/>
            <a:t> → </a:t>
          </a:r>
          <a:r>
            <a:rPr lang="en-IN" sz="1200">
              <a:solidFill>
                <a:schemeClr val="tx1"/>
              </a:solidFill>
              <a:latin typeface="+mn-lt"/>
              <a:ea typeface="+mn-ea"/>
              <a:cs typeface="+mn-cs"/>
            </a:rPr>
            <a:t>B43</a:t>
          </a:r>
          <a:endParaRPr lang="en-IN" sz="1200"/>
        </a:p>
        <a:p>
          <a:r>
            <a:rPr lang="en-IN" sz="1200" b="1"/>
            <a:t>Net Annual Savings</a:t>
          </a:r>
          <a:r>
            <a:rPr lang="en-IN" sz="1200"/>
            <a:t> → </a:t>
          </a:r>
          <a:r>
            <a:rPr lang="en-IN" sz="1200">
              <a:solidFill>
                <a:schemeClr val="tx1"/>
              </a:solidFill>
              <a:latin typeface="+mn-lt"/>
              <a:ea typeface="+mn-ea"/>
              <a:cs typeface="+mn-cs"/>
            </a:rPr>
            <a:t>B62</a:t>
          </a:r>
          <a:r>
            <a:rPr lang="en-IN" sz="1200"/>
            <a:t> </a:t>
          </a:r>
        </a:p>
        <a:p>
          <a:r>
            <a:rPr lang="en-IN" sz="1200" b="1"/>
            <a:t>Row input cell</a:t>
          </a:r>
          <a:r>
            <a:rPr lang="en-IN" sz="1200"/>
            <a:t> → </a:t>
          </a:r>
          <a:r>
            <a:rPr lang="en-IN" sz="1200">
              <a:solidFill>
                <a:schemeClr val="tx1"/>
              </a:solidFill>
              <a:latin typeface="+mn-lt"/>
              <a:ea typeface="+mn-ea"/>
              <a:cs typeface="+mn-cs"/>
            </a:rPr>
            <a:t>$B$44</a:t>
          </a:r>
          <a:r>
            <a:rPr lang="en-IN" sz="1200"/>
            <a:t> (Off-Peak VMs)</a:t>
          </a:r>
        </a:p>
        <a:p>
          <a:r>
            <a:rPr lang="en-IN" sz="1200" b="1"/>
            <a:t>Column input cell</a:t>
          </a:r>
          <a:r>
            <a:rPr lang="en-IN" sz="1200"/>
            <a:t> → </a:t>
          </a:r>
          <a:r>
            <a:rPr lang="en-IN" sz="1200">
              <a:solidFill>
                <a:schemeClr val="tx1"/>
              </a:solidFill>
              <a:latin typeface="+mn-lt"/>
              <a:ea typeface="+mn-ea"/>
              <a:cs typeface="+mn-cs"/>
            </a:rPr>
            <a:t>$B$43</a:t>
          </a:r>
          <a:r>
            <a:rPr lang="en-IN" sz="1200"/>
            <a:t> (Peak VMs)</a:t>
          </a:r>
        </a:p>
        <a:p>
          <a:endParaRPr lang="en-IN" sz="1200"/>
        </a:p>
        <a:p>
          <a:endParaRPr lang="en-IN" sz="1200"/>
        </a:p>
      </xdr:txBody>
    </xdr:sp>
    <xdr:clientData/>
  </xdr:oneCellAnchor>
  <xdr:oneCellAnchor>
    <xdr:from>
      <xdr:col>2</xdr:col>
      <xdr:colOff>937260</xdr:colOff>
      <xdr:row>32</xdr:row>
      <xdr:rowOff>22860</xdr:rowOff>
    </xdr:from>
    <xdr:ext cx="7825740" cy="335280"/>
    <xdr:sp macro="" textlink="">
      <xdr:nvSpPr>
        <xdr:cNvPr id="9" name="TextBox 8">
          <a:extLst>
            <a:ext uri="{FF2B5EF4-FFF2-40B4-BE49-F238E27FC236}">
              <a16:creationId xmlns:a16="http://schemas.microsoft.com/office/drawing/2014/main" id="{D0254CC9-2695-0764-8BE7-F5B39C36403D}"/>
            </a:ext>
          </a:extLst>
        </xdr:cNvPr>
        <xdr:cNvSpPr txBox="1"/>
      </xdr:nvSpPr>
      <xdr:spPr>
        <a:xfrm>
          <a:off x="3459480" y="5920740"/>
          <a:ext cx="7825740" cy="33528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200" b="1">
              <a:solidFill>
                <a:schemeClr val="bg1"/>
              </a:solidFill>
            </a:rPr>
            <a:t>Annual Optimized Cost changes with different VM mixes.</a:t>
          </a:r>
        </a:p>
      </xdr:txBody>
    </xdr:sp>
    <xdr:clientData/>
  </xdr:oneCellAnchor>
  <xdr:oneCellAnchor>
    <xdr:from>
      <xdr:col>19</xdr:col>
      <xdr:colOff>304801</xdr:colOff>
      <xdr:row>32</xdr:row>
      <xdr:rowOff>53340</xdr:rowOff>
    </xdr:from>
    <xdr:ext cx="6225539" cy="4556760"/>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9A704DED-75CB-74A0-F3CC-DED177B25CEE}"/>
                </a:ext>
              </a:extLst>
            </xdr:cNvPr>
            <xdr:cNvSpPr txBox="1"/>
          </xdr:nvSpPr>
          <xdr:spPr>
            <a:xfrm>
              <a:off x="14066521" y="5951220"/>
              <a:ext cx="6225539" cy="455676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t>Logic Used:</a:t>
              </a:r>
            </a:p>
            <a:p>
              <a:pPr/>
              <a14:m>
                <m:oMathPara xmlns:m="http://schemas.openxmlformats.org/officeDocument/2006/math">
                  <m:oMathParaPr>
                    <m:jc m:val="centerGroup"/>
                  </m:oMathParaPr>
                  <m:oMath xmlns:m="http://schemas.openxmlformats.org/officeDocument/2006/math">
                    <m:r>
                      <m:rPr>
                        <m:nor/>
                      </m:rPr>
                      <a:rPr lang="en-IN" sz="1400" b="0"/>
                      <m:t>Annual</m:t>
                    </m:r>
                    <m:r>
                      <m:rPr>
                        <m:nor/>
                      </m:rPr>
                      <a:rPr lang="en-IN" sz="1400" b="0" i="1"/>
                      <m:t> </m:t>
                    </m:r>
                    <m:r>
                      <m:rPr>
                        <m:nor/>
                      </m:rPr>
                      <a:rPr lang="en-IN" sz="1400" b="0" i="1"/>
                      <m:t>Optimized</m:t>
                    </m:r>
                    <m:r>
                      <m:rPr>
                        <m:nor/>
                      </m:rPr>
                      <a:rPr lang="en-IN" sz="1400" b="0" i="1"/>
                      <m:t> </m:t>
                    </m:r>
                    <m:r>
                      <m:rPr>
                        <m:nor/>
                      </m:rPr>
                      <a:rPr lang="en-IN" sz="1400" b="0" i="1"/>
                      <m:t>Cost</m:t>
                    </m:r>
                    <m:r>
                      <a:rPr lang="en-IN" sz="1400" b="0" i="0">
                        <a:solidFill>
                          <a:schemeClr val="tx1"/>
                        </a:solidFill>
                        <a:latin typeface="Cambria Math" panose="02040503050406030204" pitchFamily="18" charset="0"/>
                        <a:ea typeface="+mn-ea"/>
                        <a:cs typeface="+mn-cs"/>
                      </a:rPr>
                      <m:t>=</m:t>
                    </m:r>
                    <m:d>
                      <m:dPr>
                        <m:ctrlPr>
                          <a:rPr lang="ar-AE" sz="1400" b="0" i="1">
                            <a:solidFill>
                              <a:schemeClr val="tx1"/>
                            </a:solidFill>
                            <a:latin typeface="Cambria Math" panose="02040503050406030204" pitchFamily="18" charset="0"/>
                            <a:ea typeface="+mn-ea"/>
                            <a:cs typeface="+mn-cs"/>
                          </a:rPr>
                        </m:ctrlPr>
                      </m:dPr>
                      <m:e>
                        <m:r>
                          <m:rPr>
                            <m:nor/>
                          </m:rPr>
                          <a:rPr lang="en-IN" sz="1400" b="0" i="1">
                            <a:solidFill>
                              <a:schemeClr val="tx1"/>
                            </a:solidFill>
                            <a:latin typeface="+mn-lt"/>
                            <a:ea typeface="+mn-ea"/>
                            <a:cs typeface="+mn-cs"/>
                          </a:rPr>
                          <m:t>Peak</m:t>
                        </m:r>
                        <m:r>
                          <m:rPr>
                            <m:nor/>
                          </m:rPr>
                          <a:rPr lang="en-IN" sz="1400" b="0" i="1">
                            <a:solidFill>
                              <a:schemeClr val="tx1"/>
                            </a:solidFill>
                            <a:latin typeface="+mn-lt"/>
                            <a:ea typeface="+mn-ea"/>
                            <a:cs typeface="+mn-cs"/>
                          </a:rPr>
                          <m:t> </m:t>
                        </m:r>
                        <m:r>
                          <m:rPr>
                            <m:nor/>
                          </m:rPr>
                          <a:rPr lang="en-IN" sz="1400" b="0" i="1">
                            <a:solidFill>
                              <a:schemeClr val="tx1"/>
                            </a:solidFill>
                            <a:latin typeface="+mn-lt"/>
                            <a:ea typeface="+mn-ea"/>
                            <a:cs typeface="+mn-cs"/>
                          </a:rPr>
                          <m:t>VMs</m:t>
                        </m:r>
                        <m:r>
                          <a:rPr lang="en-IN" sz="1400" b="0" i="0">
                            <a:solidFill>
                              <a:schemeClr val="tx1"/>
                            </a:solidFill>
                            <a:latin typeface="Cambria Math" panose="02040503050406030204" pitchFamily="18" charset="0"/>
                            <a:ea typeface="+mn-ea"/>
                            <a:cs typeface="+mn-cs"/>
                          </a:rPr>
                          <m:t>×</m:t>
                        </m:r>
                        <m:r>
                          <m:rPr>
                            <m:nor/>
                          </m:rPr>
                          <a:rPr lang="en-IN" sz="1400" b="0" i="1">
                            <a:solidFill>
                              <a:schemeClr val="tx1"/>
                            </a:solidFill>
                            <a:latin typeface="+mn-lt"/>
                            <a:ea typeface="+mn-ea"/>
                            <a:cs typeface="+mn-cs"/>
                          </a:rPr>
                          <m:t>Peak</m:t>
                        </m:r>
                        <m:r>
                          <m:rPr>
                            <m:nor/>
                          </m:rPr>
                          <a:rPr lang="en-IN" sz="1400" b="0" i="1">
                            <a:solidFill>
                              <a:schemeClr val="tx1"/>
                            </a:solidFill>
                            <a:latin typeface="+mn-lt"/>
                            <a:ea typeface="+mn-ea"/>
                            <a:cs typeface="+mn-cs"/>
                          </a:rPr>
                          <m:t> </m:t>
                        </m:r>
                        <m:r>
                          <m:rPr>
                            <m:nor/>
                          </m:rPr>
                          <a:rPr lang="en-IN" sz="1400" b="0" i="1">
                            <a:solidFill>
                              <a:schemeClr val="tx1"/>
                            </a:solidFill>
                            <a:latin typeface="+mn-lt"/>
                            <a:ea typeface="+mn-ea"/>
                            <a:cs typeface="+mn-cs"/>
                          </a:rPr>
                          <m:t>Hours</m:t>
                        </m:r>
                        <m:r>
                          <a:rPr lang="en-IN" sz="1400" b="0" i="0">
                            <a:solidFill>
                              <a:schemeClr val="tx1"/>
                            </a:solidFill>
                            <a:latin typeface="Cambria Math" panose="02040503050406030204" pitchFamily="18" charset="0"/>
                            <a:ea typeface="+mn-ea"/>
                            <a:cs typeface="+mn-cs"/>
                          </a:rPr>
                          <m:t>+</m:t>
                        </m:r>
                        <m:r>
                          <m:rPr>
                            <m:nor/>
                          </m:rPr>
                          <a:rPr lang="en-IN" sz="1400" b="0" i="1">
                            <a:solidFill>
                              <a:schemeClr val="tx1"/>
                            </a:solidFill>
                            <a:latin typeface="+mn-lt"/>
                            <a:ea typeface="+mn-ea"/>
                            <a:cs typeface="+mn-cs"/>
                          </a:rPr>
                          <m:t>Off</m:t>
                        </m:r>
                        <m:r>
                          <m:rPr>
                            <m:nor/>
                          </m:rPr>
                          <a:rPr lang="en-IN" sz="1400" b="0" i="1">
                            <a:solidFill>
                              <a:schemeClr val="tx1"/>
                            </a:solidFill>
                            <a:latin typeface="+mn-lt"/>
                            <a:ea typeface="+mn-ea"/>
                            <a:cs typeface="+mn-cs"/>
                          </a:rPr>
                          <m:t>−</m:t>
                        </m:r>
                        <m:r>
                          <m:rPr>
                            <m:nor/>
                          </m:rPr>
                          <a:rPr lang="en-IN" sz="1400" b="0" i="1">
                            <a:solidFill>
                              <a:schemeClr val="tx1"/>
                            </a:solidFill>
                            <a:latin typeface="+mn-lt"/>
                            <a:ea typeface="+mn-ea"/>
                            <a:cs typeface="+mn-cs"/>
                          </a:rPr>
                          <m:t>Peak</m:t>
                        </m:r>
                        <m:r>
                          <m:rPr>
                            <m:nor/>
                          </m:rPr>
                          <a:rPr lang="en-IN" sz="1400" b="0" i="1">
                            <a:solidFill>
                              <a:schemeClr val="tx1"/>
                            </a:solidFill>
                            <a:latin typeface="+mn-lt"/>
                            <a:ea typeface="+mn-ea"/>
                            <a:cs typeface="+mn-cs"/>
                          </a:rPr>
                          <m:t> </m:t>
                        </m:r>
                        <m:r>
                          <m:rPr>
                            <m:nor/>
                          </m:rPr>
                          <a:rPr lang="en-IN" sz="1400" b="0" i="1">
                            <a:solidFill>
                              <a:schemeClr val="tx1"/>
                            </a:solidFill>
                            <a:latin typeface="+mn-lt"/>
                            <a:ea typeface="+mn-ea"/>
                            <a:cs typeface="+mn-cs"/>
                          </a:rPr>
                          <m:t>VMs</m:t>
                        </m:r>
                        <m:r>
                          <a:rPr lang="en-IN" sz="1400" b="0" i="0">
                            <a:solidFill>
                              <a:schemeClr val="tx1"/>
                            </a:solidFill>
                            <a:latin typeface="Cambria Math" panose="02040503050406030204" pitchFamily="18" charset="0"/>
                            <a:ea typeface="+mn-ea"/>
                            <a:cs typeface="+mn-cs"/>
                          </a:rPr>
                          <m:t>×</m:t>
                        </m:r>
                        <m:r>
                          <m:rPr>
                            <m:nor/>
                          </m:rPr>
                          <a:rPr lang="en-IN" sz="1400" b="0" i="1">
                            <a:solidFill>
                              <a:schemeClr val="tx1"/>
                            </a:solidFill>
                            <a:latin typeface="+mn-lt"/>
                            <a:ea typeface="+mn-ea"/>
                            <a:cs typeface="+mn-cs"/>
                          </a:rPr>
                          <m:t>Off</m:t>
                        </m:r>
                        <m:r>
                          <m:rPr>
                            <m:nor/>
                          </m:rPr>
                          <a:rPr lang="en-IN" sz="1400" b="0" i="1">
                            <a:solidFill>
                              <a:schemeClr val="tx1"/>
                            </a:solidFill>
                            <a:latin typeface="+mn-lt"/>
                            <a:ea typeface="+mn-ea"/>
                            <a:cs typeface="+mn-cs"/>
                          </a:rPr>
                          <m:t>−</m:t>
                        </m:r>
                        <m:r>
                          <m:rPr>
                            <m:nor/>
                          </m:rPr>
                          <a:rPr lang="en-IN" sz="1400" b="0" i="1">
                            <a:solidFill>
                              <a:schemeClr val="tx1"/>
                            </a:solidFill>
                            <a:latin typeface="+mn-lt"/>
                            <a:ea typeface="+mn-ea"/>
                            <a:cs typeface="+mn-cs"/>
                          </a:rPr>
                          <m:t>Peak</m:t>
                        </m:r>
                        <m:r>
                          <m:rPr>
                            <m:nor/>
                          </m:rPr>
                          <a:rPr lang="en-IN" sz="1400" b="0" i="1">
                            <a:solidFill>
                              <a:schemeClr val="tx1"/>
                            </a:solidFill>
                            <a:latin typeface="+mn-lt"/>
                            <a:ea typeface="+mn-ea"/>
                            <a:cs typeface="+mn-cs"/>
                          </a:rPr>
                          <m:t> </m:t>
                        </m:r>
                        <m:r>
                          <m:rPr>
                            <m:nor/>
                          </m:rPr>
                          <a:rPr lang="en-IN" sz="1400" b="0" i="1">
                            <a:solidFill>
                              <a:schemeClr val="tx1"/>
                            </a:solidFill>
                            <a:latin typeface="+mn-lt"/>
                            <a:ea typeface="+mn-ea"/>
                            <a:cs typeface="+mn-cs"/>
                          </a:rPr>
                          <m:t>Hours</m:t>
                        </m:r>
                      </m:e>
                    </m:d>
                    <m:r>
                      <a:rPr lang="ar-AE" sz="1400" b="0" i="0">
                        <a:solidFill>
                          <a:schemeClr val="tx1"/>
                        </a:solidFill>
                        <a:latin typeface="Cambria Math" panose="02040503050406030204" pitchFamily="18" charset="0"/>
                        <a:ea typeface="+mn-ea"/>
                        <a:cs typeface="+mn-cs"/>
                      </a:rPr>
                      <m:t>×</m:t>
                    </m:r>
                    <m:r>
                      <m:rPr>
                        <m:nor/>
                      </m:rPr>
                      <a:rPr lang="en-IN" sz="1400" b="0" i="1">
                        <a:solidFill>
                          <a:schemeClr val="tx1"/>
                        </a:solidFill>
                        <a:latin typeface="+mn-lt"/>
                        <a:ea typeface="+mn-ea"/>
                        <a:cs typeface="+mn-cs"/>
                      </a:rPr>
                      <m:t>Days</m:t>
                    </m:r>
                    <m:r>
                      <m:rPr>
                        <m:nor/>
                      </m:rPr>
                      <a:rPr lang="en-IN" sz="1400" b="0" i="1">
                        <a:solidFill>
                          <a:schemeClr val="tx1"/>
                        </a:solidFill>
                        <a:latin typeface="+mn-lt"/>
                        <a:ea typeface="+mn-ea"/>
                        <a:cs typeface="+mn-cs"/>
                      </a:rPr>
                      <m:t> </m:t>
                    </m:r>
                    <m:r>
                      <m:rPr>
                        <m:nor/>
                      </m:rPr>
                      <a:rPr lang="en-IN" sz="1400" b="0" i="1">
                        <a:solidFill>
                          <a:schemeClr val="tx1"/>
                        </a:solidFill>
                        <a:latin typeface="+mn-lt"/>
                        <a:ea typeface="+mn-ea"/>
                        <a:cs typeface="+mn-cs"/>
                      </a:rPr>
                      <m:t>per</m:t>
                    </m:r>
                    <m:r>
                      <m:rPr>
                        <m:nor/>
                      </m:rPr>
                      <a:rPr lang="en-IN" sz="1400" b="0" i="1">
                        <a:solidFill>
                          <a:schemeClr val="tx1"/>
                        </a:solidFill>
                        <a:latin typeface="+mn-lt"/>
                        <a:ea typeface="+mn-ea"/>
                        <a:cs typeface="+mn-cs"/>
                      </a:rPr>
                      <m:t> </m:t>
                    </m:r>
                    <m:r>
                      <m:rPr>
                        <m:nor/>
                      </m:rPr>
                      <a:rPr lang="en-IN" sz="1400" b="0" i="1">
                        <a:solidFill>
                          <a:schemeClr val="tx1"/>
                        </a:solidFill>
                        <a:latin typeface="+mn-lt"/>
                        <a:ea typeface="+mn-ea"/>
                        <a:cs typeface="+mn-cs"/>
                      </a:rPr>
                      <m:t>Month</m:t>
                    </m:r>
                    <m:r>
                      <a:rPr lang="en-IN" sz="1400" b="0" i="0">
                        <a:solidFill>
                          <a:schemeClr val="tx1"/>
                        </a:solidFill>
                        <a:latin typeface="Cambria Math" panose="02040503050406030204" pitchFamily="18" charset="0"/>
                        <a:ea typeface="+mn-ea"/>
                        <a:cs typeface="+mn-cs"/>
                      </a:rPr>
                      <m:t>×</m:t>
                    </m:r>
                    <m:r>
                      <a:rPr lang="en-IN" sz="1400" b="0" i="0">
                        <a:solidFill>
                          <a:schemeClr val="tx1"/>
                        </a:solidFill>
                        <a:latin typeface="Cambria Math" panose="02040503050406030204" pitchFamily="18" charset="0"/>
                        <a:ea typeface="+mn-ea"/>
                        <a:cs typeface="+mn-cs"/>
                      </a:rPr>
                      <m:t>12</m:t>
                    </m:r>
                    <m:r>
                      <a:rPr lang="en-IN" sz="1400" b="0" i="0">
                        <a:solidFill>
                          <a:schemeClr val="tx1"/>
                        </a:solidFill>
                        <a:latin typeface="Cambria Math" panose="02040503050406030204" pitchFamily="18" charset="0"/>
                        <a:ea typeface="+mn-ea"/>
                        <a:cs typeface="+mn-cs"/>
                      </a:rPr>
                      <m:t>×</m:t>
                    </m:r>
                    <m:r>
                      <m:rPr>
                        <m:nor/>
                      </m:rPr>
                      <a:rPr lang="en-IN" sz="1400" b="0" i="1">
                        <a:solidFill>
                          <a:schemeClr val="tx1"/>
                        </a:solidFill>
                        <a:latin typeface="+mn-lt"/>
                        <a:ea typeface="+mn-ea"/>
                        <a:cs typeface="+mn-cs"/>
                      </a:rPr>
                      <m:t>Rate</m:t>
                    </m:r>
                  </m:oMath>
                </m:oMathPara>
              </a14:m>
              <a:endParaRPr lang="en-IN" sz="1400" b="0"/>
            </a:p>
            <a:p>
              <a:endParaRPr lang="en-IN" sz="1400"/>
            </a:p>
            <a:p>
              <a:r>
                <a:rPr lang="en-IN" sz="1400"/>
                <a:t>This table is a two-variable sensitivity analysis that </a:t>
              </a:r>
              <a:r>
                <a:rPr lang="en-IN" sz="1400" b="1"/>
                <a:t>shows how annual compute cost changes based on peak and off-peak VM demand </a:t>
              </a:r>
              <a:r>
                <a:rPr lang="en-IN" sz="1400"/>
                <a:t>under an auto-scaling strategy.</a:t>
              </a:r>
            </a:p>
            <a:p>
              <a:endParaRPr lang="en-IN" sz="1400"/>
            </a:p>
            <a:p>
              <a:r>
                <a:rPr lang="en-IN" sz="1400" b="1"/>
                <a:t>Rows represent peak-hour VM requirements</a:t>
              </a:r>
              <a:r>
                <a:rPr lang="en-IN" sz="1400"/>
                <a:t>, </a:t>
              </a:r>
              <a:r>
                <a:rPr lang="en-IN" sz="1400" b="1"/>
                <a:t>columns represent off-peak VM requirements</a:t>
              </a:r>
              <a:r>
                <a:rPr lang="en-IN" sz="1400"/>
                <a:t>, and each cell calculates the </a:t>
              </a:r>
              <a:r>
                <a:rPr lang="en-IN" sz="1400" b="1"/>
                <a:t>resulting annual optimized cost </a:t>
              </a:r>
              <a:r>
                <a:rPr lang="en-IN" sz="1400"/>
                <a:t>using consistent pricing and workload assumptions.</a:t>
              </a:r>
            </a:p>
            <a:p>
              <a:endParaRPr lang="en-IN" sz="1400"/>
            </a:p>
            <a:p>
              <a:r>
                <a:rPr lang="en-IN" sz="1400"/>
                <a:t>This sensitivity table helps visualize how different workload patterns directly impact annual cloud spend and allows us to validate whether the selected scaling strategy remains cost-efficient under varying demand scenarios.</a:t>
              </a:r>
            </a:p>
            <a:p>
              <a:endParaRPr lang="en-IN" sz="1400"/>
            </a:p>
            <a:p>
              <a:r>
                <a:rPr lang="en-IN" sz="1400"/>
                <a:t>For example, at 40 peak VMs and 20 off-peak VMs, the annual optimized cost is $19.6K, compared to a baseline always-on cost of $41.5K — </a:t>
              </a:r>
              <a:r>
                <a:rPr lang="en-IN" sz="1400" b="1"/>
                <a:t>a reduction of over 50% purely from right-sizing and auto-scaling, without any pricing discounts</a:t>
              </a:r>
              <a:r>
                <a:rPr lang="en-IN" sz="1400"/>
                <a:t>.</a:t>
              </a:r>
            </a:p>
          </xdr:txBody>
        </xdr:sp>
      </mc:Choice>
      <mc:Fallback xmlns="">
        <xdr:sp macro="" textlink="">
          <xdr:nvSpPr>
            <xdr:cNvPr id="10" name="TextBox 9">
              <a:extLst>
                <a:ext uri="{FF2B5EF4-FFF2-40B4-BE49-F238E27FC236}">
                  <a16:creationId xmlns:a16="http://schemas.microsoft.com/office/drawing/2014/main" id="{9A704DED-75CB-74A0-F3CC-DED177B25CEE}"/>
                </a:ext>
              </a:extLst>
            </xdr:cNvPr>
            <xdr:cNvSpPr txBox="1"/>
          </xdr:nvSpPr>
          <xdr:spPr>
            <a:xfrm>
              <a:off x="14066521" y="5951220"/>
              <a:ext cx="6225539" cy="455676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t>Logic Used:</a:t>
              </a:r>
            </a:p>
            <a:p>
              <a:pPr/>
              <a:r>
                <a:rPr lang="en-IN" sz="1400" b="0" i="0">
                  <a:latin typeface="Cambria Math" panose="02040503050406030204" pitchFamily="18" charset="0"/>
                </a:rPr>
                <a:t>"Annual Optimized Cost</a:t>
              </a:r>
              <a:r>
                <a:rPr lang="en-IN" sz="1400" b="0" i="0">
                  <a:solidFill>
                    <a:schemeClr val="tx1"/>
                  </a:solidFill>
                  <a:latin typeface="Cambria Math" panose="02040503050406030204" pitchFamily="18" charset="0"/>
                  <a:ea typeface="+mn-ea"/>
                  <a:cs typeface="+mn-cs"/>
                </a:rPr>
                <a:t>"=</a:t>
              </a:r>
              <a:r>
                <a:rPr lang="ar-AE" sz="1400" b="0" i="0">
                  <a:solidFill>
                    <a:schemeClr val="tx1"/>
                  </a:solidFill>
                  <a:latin typeface="Cambria Math" panose="02040503050406030204" pitchFamily="18" charset="0"/>
                  <a:ea typeface="+mn-ea"/>
                  <a:cs typeface="+mn-cs"/>
                </a:rPr>
                <a:t>(</a:t>
              </a:r>
              <a:r>
                <a:rPr lang="en-IN" sz="1400" b="0" i="0">
                  <a:solidFill>
                    <a:schemeClr val="tx1"/>
                  </a:solidFill>
                  <a:latin typeface="+mn-lt"/>
                  <a:ea typeface="+mn-ea"/>
                  <a:cs typeface="+mn-cs"/>
                </a:rPr>
                <a:t>"Peak VMs</a:t>
              </a:r>
              <a:r>
                <a:rPr lang="en-IN" sz="1400" b="0" i="0">
                  <a:solidFill>
                    <a:schemeClr val="tx1"/>
                  </a:solidFill>
                  <a:latin typeface="Cambria Math" panose="02040503050406030204" pitchFamily="18" charset="0"/>
                  <a:ea typeface="+mn-ea"/>
                  <a:cs typeface="+mn-cs"/>
                </a:rPr>
                <a:t>" ×</a:t>
              </a:r>
              <a:r>
                <a:rPr lang="en-IN" sz="1400" b="0" i="0">
                  <a:solidFill>
                    <a:schemeClr val="tx1"/>
                  </a:solidFill>
                  <a:latin typeface="+mn-lt"/>
                  <a:ea typeface="+mn-ea"/>
                  <a:cs typeface="+mn-cs"/>
                </a:rPr>
                <a:t>"Peak Hours</a:t>
              </a:r>
              <a:r>
                <a:rPr lang="en-IN" sz="1400" b="0" i="0">
                  <a:solidFill>
                    <a:schemeClr val="tx1"/>
                  </a:solidFill>
                  <a:latin typeface="Cambria Math" panose="02040503050406030204" pitchFamily="18" charset="0"/>
                  <a:ea typeface="+mn-ea"/>
                  <a:cs typeface="+mn-cs"/>
                </a:rPr>
                <a:t>" +</a:t>
              </a:r>
              <a:r>
                <a:rPr lang="en-IN" sz="1400" b="0" i="0">
                  <a:solidFill>
                    <a:schemeClr val="tx1"/>
                  </a:solidFill>
                  <a:latin typeface="+mn-lt"/>
                  <a:ea typeface="+mn-ea"/>
                  <a:cs typeface="+mn-cs"/>
                </a:rPr>
                <a:t>"Off−Peak VMs</a:t>
              </a:r>
              <a:r>
                <a:rPr lang="en-IN" sz="1400" b="0" i="0">
                  <a:solidFill>
                    <a:schemeClr val="tx1"/>
                  </a:solidFill>
                  <a:latin typeface="Cambria Math" panose="02040503050406030204" pitchFamily="18" charset="0"/>
                  <a:ea typeface="+mn-ea"/>
                  <a:cs typeface="+mn-cs"/>
                </a:rPr>
                <a:t>" ×</a:t>
              </a:r>
              <a:r>
                <a:rPr lang="en-IN" sz="1400" b="0" i="0">
                  <a:solidFill>
                    <a:schemeClr val="tx1"/>
                  </a:solidFill>
                  <a:latin typeface="+mn-lt"/>
                  <a:ea typeface="+mn-ea"/>
                  <a:cs typeface="+mn-cs"/>
                </a:rPr>
                <a:t>"Off−Peak Hours</a:t>
              </a:r>
              <a:r>
                <a:rPr lang="en-IN" sz="1400" b="0" i="0">
                  <a:solidFill>
                    <a:schemeClr val="tx1"/>
                  </a:solidFill>
                  <a:latin typeface="Cambria Math" panose="02040503050406030204" pitchFamily="18" charset="0"/>
                  <a:ea typeface="+mn-ea"/>
                  <a:cs typeface="+mn-cs"/>
                </a:rPr>
                <a:t>" )</a:t>
              </a:r>
              <a:r>
                <a:rPr lang="ar-AE" sz="1400" b="0" i="0">
                  <a:solidFill>
                    <a:schemeClr val="tx1"/>
                  </a:solidFill>
                  <a:latin typeface="Cambria Math" panose="02040503050406030204" pitchFamily="18" charset="0"/>
                  <a:ea typeface="+mn-ea"/>
                  <a:cs typeface="+mn-cs"/>
                </a:rPr>
                <a:t>×</a:t>
              </a:r>
              <a:r>
                <a:rPr lang="en-IN" sz="1400" b="0" i="0">
                  <a:solidFill>
                    <a:schemeClr val="tx1"/>
                  </a:solidFill>
                  <a:latin typeface="Cambria Math" panose="02040503050406030204" pitchFamily="18" charset="0"/>
                  <a:ea typeface="+mn-ea"/>
                  <a:cs typeface="+mn-cs"/>
                </a:rPr>
                <a:t>"Days per Month"×12×"Rate</a:t>
              </a:r>
              <a:r>
                <a:rPr lang="en-IN" sz="1400" b="0" i="0">
                  <a:solidFill>
                    <a:schemeClr val="tx1"/>
                  </a:solidFill>
                  <a:latin typeface="+mn-lt"/>
                  <a:ea typeface="+mn-ea"/>
                  <a:cs typeface="+mn-cs"/>
                </a:rPr>
                <a:t>"</a:t>
              </a:r>
              <a:endParaRPr lang="en-IN" sz="1400" b="0"/>
            </a:p>
            <a:p>
              <a:endParaRPr lang="en-IN" sz="1400"/>
            </a:p>
            <a:p>
              <a:r>
                <a:rPr lang="en-IN" sz="1400"/>
                <a:t>This table is a two-variable sensitivity analysis that </a:t>
              </a:r>
              <a:r>
                <a:rPr lang="en-IN" sz="1400" b="1"/>
                <a:t>shows how annual compute cost changes based on peak and off-peak VM demand </a:t>
              </a:r>
              <a:r>
                <a:rPr lang="en-IN" sz="1400"/>
                <a:t>under an auto-scaling strategy.</a:t>
              </a:r>
            </a:p>
            <a:p>
              <a:endParaRPr lang="en-IN" sz="1400"/>
            </a:p>
            <a:p>
              <a:r>
                <a:rPr lang="en-IN" sz="1400" b="1"/>
                <a:t>Rows represent peak-hour VM requirements</a:t>
              </a:r>
              <a:r>
                <a:rPr lang="en-IN" sz="1400"/>
                <a:t>, </a:t>
              </a:r>
              <a:r>
                <a:rPr lang="en-IN" sz="1400" b="1"/>
                <a:t>columns represent off-peak VM requirements</a:t>
              </a:r>
              <a:r>
                <a:rPr lang="en-IN" sz="1400"/>
                <a:t>, and each cell calculates the </a:t>
              </a:r>
              <a:r>
                <a:rPr lang="en-IN" sz="1400" b="1"/>
                <a:t>resulting annual optimized cost </a:t>
              </a:r>
              <a:r>
                <a:rPr lang="en-IN" sz="1400"/>
                <a:t>using consistent pricing and workload assumptions.</a:t>
              </a:r>
            </a:p>
            <a:p>
              <a:endParaRPr lang="en-IN" sz="1400"/>
            </a:p>
            <a:p>
              <a:r>
                <a:rPr lang="en-IN" sz="1400"/>
                <a:t>This sensitivity table helps visualize how different workload patterns directly impact annual cloud spend and allows us to validate whether the selected scaling strategy remains cost-efficient under varying demand scenarios.</a:t>
              </a:r>
            </a:p>
            <a:p>
              <a:endParaRPr lang="en-IN" sz="1400"/>
            </a:p>
            <a:p>
              <a:r>
                <a:rPr lang="en-IN" sz="1400"/>
                <a:t>For example, at 40 peak VMs and 20 off-peak VMs, the annual optimized cost is $19.6K, compared to a baseline always-on cost of $41.5K — </a:t>
              </a:r>
              <a:r>
                <a:rPr lang="en-IN" sz="1400" b="1"/>
                <a:t>a reduction of over 50% purely from right-sizing and auto-scaling, without any pricing discounts</a:t>
              </a:r>
              <a:r>
                <a:rPr lang="en-IN" sz="1400"/>
                <a:t>.</a:t>
              </a:r>
            </a:p>
          </xdr:txBody>
        </xdr:sp>
      </mc:Fallback>
    </mc:AlternateContent>
    <xdr:clientData/>
  </xdr:oneCellAnchor>
  <xdr:oneCellAnchor>
    <xdr:from>
      <xdr:col>16</xdr:col>
      <xdr:colOff>152400</xdr:colOff>
      <xdr:row>50</xdr:row>
      <xdr:rowOff>83820</xdr:rowOff>
    </xdr:from>
    <xdr:ext cx="8275320" cy="2283959"/>
    <xdr:sp macro="" textlink="">
      <xdr:nvSpPr>
        <xdr:cNvPr id="5" name="TextBox 4">
          <a:extLst>
            <a:ext uri="{FF2B5EF4-FFF2-40B4-BE49-F238E27FC236}">
              <a16:creationId xmlns:a16="http://schemas.microsoft.com/office/drawing/2014/main" id="{6BE9943D-16D3-4CF3-8793-CE929209EBFD}"/>
            </a:ext>
          </a:extLst>
        </xdr:cNvPr>
        <xdr:cNvSpPr txBox="1"/>
      </xdr:nvSpPr>
      <xdr:spPr>
        <a:xfrm>
          <a:off x="12085320" y="11209020"/>
          <a:ext cx="8275320" cy="2283959"/>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Net Savings = Baseline Annual Cost−Optimized Cost</a:t>
          </a:r>
        </a:p>
        <a:p>
          <a:endParaRPr lang="en-IN" sz="1400"/>
        </a:p>
        <a:p>
          <a:r>
            <a:rPr lang="en-IN" sz="1400"/>
            <a:t>This heatmap translates optimized cost into net financial impact versus the baseline always-on deployment.</a:t>
          </a:r>
          <a:br>
            <a:rPr lang="en-IN" sz="1400"/>
          </a:br>
          <a:endParaRPr lang="en-IN" sz="1400"/>
        </a:p>
        <a:p>
          <a:r>
            <a:rPr lang="en-IN" sz="1400"/>
            <a:t>Green zones indicate scaling patterns where auto-scaling delivers savings, while red zones show scenarios where insufficient downscaling erodes value.</a:t>
          </a:r>
        </a:p>
        <a:p>
          <a:endParaRPr lang="en-IN" sz="1400"/>
        </a:p>
        <a:p>
          <a:r>
            <a:rPr lang="en-IN" sz="1400" b="1"/>
            <a:t>Highest</a:t>
          </a:r>
          <a:r>
            <a:rPr lang="en-IN" sz="1400"/>
            <a:t> when both Peak &amp; Off-Peak VMs are low.</a:t>
          </a:r>
        </a:p>
        <a:p>
          <a:r>
            <a:rPr lang="en-IN" sz="1400" b="1"/>
            <a:t>Lowest</a:t>
          </a:r>
          <a:r>
            <a:rPr lang="en-IN" sz="1400"/>
            <a:t> when both are high.</a:t>
          </a:r>
        </a:p>
        <a:p>
          <a:endParaRPr lang="en-IN" sz="1400"/>
        </a:p>
      </xdr:txBody>
    </xdr:sp>
    <xdr:clientData/>
  </xdr:oneCellAnchor>
  <xdr:oneCellAnchor>
    <xdr:from>
      <xdr:col>5</xdr:col>
      <xdr:colOff>541020</xdr:colOff>
      <xdr:row>48</xdr:row>
      <xdr:rowOff>419100</xdr:rowOff>
    </xdr:from>
    <xdr:ext cx="6111240" cy="335280"/>
    <xdr:sp macro="" textlink="">
      <xdr:nvSpPr>
        <xdr:cNvPr id="6" name="TextBox 5">
          <a:extLst>
            <a:ext uri="{FF2B5EF4-FFF2-40B4-BE49-F238E27FC236}">
              <a16:creationId xmlns:a16="http://schemas.microsoft.com/office/drawing/2014/main" id="{0279122B-7E4E-4263-AB6B-6ADF64BD3ECD}"/>
            </a:ext>
          </a:extLst>
        </xdr:cNvPr>
        <xdr:cNvSpPr txBox="1"/>
      </xdr:nvSpPr>
      <xdr:spPr>
        <a:xfrm>
          <a:off x="5364480" y="10904220"/>
          <a:ext cx="6111240" cy="335280"/>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600" b="1">
              <a:solidFill>
                <a:schemeClr val="bg1"/>
              </a:solidFill>
            </a:rPr>
            <a:t>Net Savings Heatmap</a:t>
          </a:r>
        </a:p>
      </xdr:txBody>
    </xdr:sp>
    <xdr:clientData/>
  </xdr:oneCellAnchor>
  <xdr:oneCellAnchor>
    <xdr:from>
      <xdr:col>5</xdr:col>
      <xdr:colOff>541020</xdr:colOff>
      <xdr:row>58</xdr:row>
      <xdr:rowOff>76200</xdr:rowOff>
    </xdr:from>
    <xdr:ext cx="6027420" cy="1188146"/>
    <xdr:sp macro="" textlink="">
      <xdr:nvSpPr>
        <xdr:cNvPr id="11" name="TextBox 10">
          <a:extLst>
            <a:ext uri="{FF2B5EF4-FFF2-40B4-BE49-F238E27FC236}">
              <a16:creationId xmlns:a16="http://schemas.microsoft.com/office/drawing/2014/main" id="{826CE9FE-CD7A-4128-A337-DAA2D5FC547C}"/>
            </a:ext>
          </a:extLst>
        </xdr:cNvPr>
        <xdr:cNvSpPr txBox="1"/>
      </xdr:nvSpPr>
      <xdr:spPr>
        <a:xfrm>
          <a:off x="5364480" y="13510260"/>
          <a:ext cx="6027420" cy="1188146"/>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a:t>This </a:t>
          </a:r>
          <a:r>
            <a:rPr lang="en-IN" sz="1400" b="1"/>
            <a:t>table shows the annual net savings achieved by right-sizing and auto-scaling compared to a fixed baseline deployment</a:t>
          </a:r>
          <a:r>
            <a:rPr lang="en-IN" sz="1400"/>
            <a:t>.</a:t>
          </a:r>
          <a:br>
            <a:rPr lang="en-IN" sz="1400"/>
          </a:br>
          <a:r>
            <a:rPr lang="en-IN" sz="1400"/>
            <a:t>Each cell represents a different combination of peak and off-peak VM demand.</a:t>
          </a:r>
          <a:br>
            <a:rPr lang="en-IN" sz="1400"/>
          </a:br>
          <a:r>
            <a:rPr lang="en-IN" sz="1400" b="1"/>
            <a:t>This helps us to identify not only how much we save in the expected case</a:t>
          </a:r>
          <a:r>
            <a:rPr lang="en-IN" sz="1400"/>
            <a:t>, but also how resilient the savings are if workload patterns shift.</a:t>
          </a:r>
        </a:p>
      </xdr:txBody>
    </xdr:sp>
    <xdr:clientData/>
  </xdr:oneCellAnchor>
  <xdr:oneCellAnchor>
    <xdr:from>
      <xdr:col>16</xdr:col>
      <xdr:colOff>137160</xdr:colOff>
      <xdr:row>59</xdr:row>
      <xdr:rowOff>0</xdr:rowOff>
    </xdr:from>
    <xdr:ext cx="8298180" cy="1280160"/>
    <xdr:sp macro="" textlink="">
      <xdr:nvSpPr>
        <xdr:cNvPr id="12" name="TextBox 11">
          <a:extLst>
            <a:ext uri="{FF2B5EF4-FFF2-40B4-BE49-F238E27FC236}">
              <a16:creationId xmlns:a16="http://schemas.microsoft.com/office/drawing/2014/main" id="{FAA64DB9-7FFE-4D48-AB57-254DFEE0CE1F}"/>
            </a:ext>
          </a:extLst>
        </xdr:cNvPr>
        <xdr:cNvSpPr txBox="1"/>
      </xdr:nvSpPr>
      <xdr:spPr>
        <a:xfrm>
          <a:off x="12070080" y="13624561"/>
          <a:ext cx="8298180" cy="128016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t>break-even contour</a:t>
          </a:r>
        </a:p>
        <a:p>
          <a:r>
            <a:rPr lang="en-IN" sz="1400"/>
            <a:t>The break-even contour highlights (Yellow) the boundary where the optimized auto-scaled deployment stops delivering savings compared to the baseline always-on model.</a:t>
          </a:r>
          <a:br>
            <a:rPr lang="en-IN" sz="1400"/>
          </a:br>
          <a:r>
            <a:rPr lang="en-IN" sz="1400"/>
            <a:t>It defines the minimum off-peak reduction required, for a given peak load, to justify the scaling strategy financially.</a:t>
          </a:r>
        </a:p>
      </xdr:txBody>
    </xdr:sp>
    <xdr:clientData/>
  </xdr:oneCellAnchor>
  <xdr:oneCellAnchor>
    <xdr:from>
      <xdr:col>0</xdr:col>
      <xdr:colOff>0</xdr:colOff>
      <xdr:row>70</xdr:row>
      <xdr:rowOff>68580</xdr:rowOff>
    </xdr:from>
    <xdr:ext cx="13487400" cy="15293289"/>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24F1A85-E67B-4D96-B9C8-12AD7B190D4D}"/>
                </a:ext>
              </a:extLst>
            </xdr:cNvPr>
            <xdr:cNvSpPr txBox="1"/>
          </xdr:nvSpPr>
          <xdr:spPr>
            <a:xfrm>
              <a:off x="0" y="16192500"/>
              <a:ext cx="13487400" cy="15293289"/>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400" b="1">
                  <a:solidFill>
                    <a:sysClr val="windowText" lastClr="000000"/>
                  </a:solidFill>
                </a:rPr>
                <a:t>🧾 Final Interpretation </a:t>
              </a:r>
            </a:p>
            <a:p>
              <a:r>
                <a:rPr lang="en-IN" sz="1400" b="0">
                  <a:solidFill>
                    <a:sysClr val="windowText" lastClr="000000"/>
                  </a:solidFill>
                </a:rPr>
                <a:t>🔹 Baseline (Always-On Deployment)</a:t>
              </a:r>
            </a:p>
            <a:p>
              <a:r>
                <a:rPr lang="en-IN" sz="1400" b="0">
                  <a:solidFill>
                    <a:sysClr val="windowText" lastClr="000000"/>
                  </a:solidFill>
                </a:rPr>
                <a:t>40 VMs × 24×7 × $0.12/hr</a:t>
              </a:r>
            </a:p>
            <a:p>
              <a:r>
                <a:rPr lang="en-IN" sz="1400" b="0">
                  <a:solidFill>
                    <a:sysClr val="windowText" lastClr="000000"/>
                  </a:solidFill>
                </a:rPr>
                <a:t>Annual Cost: $41,472</a:t>
              </a:r>
            </a:p>
            <a:p>
              <a:br>
                <a:rPr lang="en-IN" sz="1400">
                  <a:solidFill>
                    <a:sysClr val="windowText" lastClr="000000"/>
                  </a:solidFill>
                </a:rPr>
              </a:br>
              <a:endParaRPr lang="en-IN" sz="1400">
                <a:solidFill>
                  <a:sysClr val="windowText" lastClr="000000"/>
                </a:solidFill>
              </a:endParaRPr>
            </a:p>
            <a:p>
              <a:r>
                <a:rPr lang="en-IN" sz="1400" b="1">
                  <a:solidFill>
                    <a:sysClr val="windowText" lastClr="000000"/>
                  </a:solidFill>
                </a:rPr>
                <a:t> 1. How much cost can be reduced through right-sizing alone?</a:t>
              </a:r>
            </a:p>
            <a:p>
              <a:endParaRPr lang="en-IN" sz="1400" b="1">
                <a:solidFill>
                  <a:sysClr val="windowText" lastClr="000000"/>
                </a:solidFill>
              </a:endParaRPr>
            </a:p>
            <a:p>
              <a:r>
                <a:rPr lang="en-IN" sz="1400" b="1">
                  <a:solidFill>
                    <a:sysClr val="windowText" lastClr="000000"/>
                  </a:solidFill>
                </a:rPr>
                <a:t>Right-Sized Rate:</a:t>
              </a:r>
              <a:r>
                <a:rPr lang="en-IN" sz="1400">
                  <a:solidFill>
                    <a:sysClr val="windowText" lastClr="000000"/>
                  </a:solidFill>
                </a:rPr>
                <a:t> $0.08/hr</a:t>
              </a:r>
            </a:p>
            <a:p>
              <a:r>
                <a:rPr lang="en-IN" sz="1400" b="1">
                  <a:solidFill>
                    <a:sysClr val="windowText" lastClr="000000"/>
                  </a:solidFill>
                </a:rPr>
                <a:t>Right-Sized Annual Cost:</a:t>
              </a:r>
              <a:r>
                <a:rPr lang="en-IN" sz="1400">
                  <a:solidFill>
                    <a:sysClr val="windowText" lastClr="000000"/>
                  </a:solidFill>
                </a:rPr>
                <a:t> </a:t>
              </a:r>
              <a:r>
                <a:rPr lang="en-IN" sz="1400" b="1">
                  <a:solidFill>
                    <a:sysClr val="windowText" lastClr="000000"/>
                  </a:solidFill>
                </a:rPr>
                <a:t>$27,648</a:t>
              </a:r>
              <a:endParaRPr lang="en-IN" sz="1400">
                <a:solidFill>
                  <a:sysClr val="windowText" lastClr="000000"/>
                </a:solidFill>
              </a:endParaRPr>
            </a:p>
            <a:p>
              <a:r>
                <a:rPr lang="en-IN" sz="1400" b="1">
                  <a:solidFill>
                    <a:sysClr val="windowText" lastClr="000000"/>
                  </a:solidFill>
                </a:rPr>
                <a:t>Annual savings from right-sizing only: </a:t>
              </a:r>
              <a14:m>
                <m:oMath xmlns:m="http://schemas.openxmlformats.org/officeDocument/2006/math">
                  <m:r>
                    <a:rPr lang="en-IN" sz="1100" b="1" i="1">
                      <a:solidFill>
                        <a:srgbClr val="FF0000"/>
                      </a:solidFill>
                      <a:latin typeface="Cambria Math" panose="02040503050406030204" pitchFamily="18" charset="0"/>
                      <a:ea typeface="+mn-ea"/>
                      <a:cs typeface="+mn-cs"/>
                    </a:rPr>
                    <m:t>𝟒𝟏</m:t>
                  </m:r>
                  <m:r>
                    <a:rPr lang="en-IN" sz="1100" b="1" i="0">
                      <a:solidFill>
                        <a:srgbClr val="FF0000"/>
                      </a:solidFill>
                      <a:latin typeface="Cambria Math" panose="02040503050406030204" pitchFamily="18" charset="0"/>
                      <a:ea typeface="+mn-ea"/>
                      <a:cs typeface="+mn-cs"/>
                    </a:rPr>
                    <m:t>,</m:t>
                  </m:r>
                  <m:r>
                    <a:rPr lang="en-IN" sz="1100" b="1" i="0">
                      <a:solidFill>
                        <a:srgbClr val="FF0000"/>
                      </a:solidFill>
                      <a:latin typeface="Cambria Math" panose="02040503050406030204" pitchFamily="18" charset="0"/>
                      <a:ea typeface="+mn-ea"/>
                      <a:cs typeface="+mn-cs"/>
                    </a:rPr>
                    <m:t>𝟒𝟕𝟐</m:t>
                  </m:r>
                  <m:r>
                    <a:rPr lang="en-IN" sz="1100" b="1" i="0">
                      <a:solidFill>
                        <a:srgbClr val="FF0000"/>
                      </a:solidFill>
                      <a:latin typeface="Cambria Math" panose="02040503050406030204" pitchFamily="18" charset="0"/>
                      <a:ea typeface="+mn-ea"/>
                      <a:cs typeface="+mn-cs"/>
                    </a:rPr>
                    <m:t>−</m:t>
                  </m:r>
                  <m:r>
                    <a:rPr lang="en-IN" sz="1100" b="1" i="0">
                      <a:solidFill>
                        <a:srgbClr val="FF0000"/>
                      </a:solidFill>
                      <a:latin typeface="Cambria Math" panose="02040503050406030204" pitchFamily="18" charset="0"/>
                      <a:ea typeface="+mn-ea"/>
                      <a:cs typeface="+mn-cs"/>
                    </a:rPr>
                    <m:t>𝟐𝟕</m:t>
                  </m:r>
                  <m:r>
                    <a:rPr lang="en-IN" sz="1100" b="1" i="0">
                      <a:solidFill>
                        <a:srgbClr val="FF0000"/>
                      </a:solidFill>
                      <a:latin typeface="Cambria Math" panose="02040503050406030204" pitchFamily="18" charset="0"/>
                      <a:ea typeface="+mn-ea"/>
                      <a:cs typeface="+mn-cs"/>
                    </a:rPr>
                    <m:t>,</m:t>
                  </m:r>
                  <m:r>
                    <a:rPr lang="en-IN" sz="1100" b="1" i="0">
                      <a:solidFill>
                        <a:srgbClr val="FF0000"/>
                      </a:solidFill>
                      <a:latin typeface="Cambria Math" panose="02040503050406030204" pitchFamily="18" charset="0"/>
                      <a:ea typeface="+mn-ea"/>
                      <a:cs typeface="+mn-cs"/>
                    </a:rPr>
                    <m:t>𝟔𝟒𝟖</m:t>
                  </m:r>
                  <m:r>
                    <a:rPr lang="en-IN" sz="1100" b="1" i="0">
                      <a:solidFill>
                        <a:srgbClr val="FF0000"/>
                      </a:solidFill>
                      <a:latin typeface="Cambria Math" panose="02040503050406030204" pitchFamily="18" charset="0"/>
                      <a:ea typeface="+mn-ea"/>
                      <a:cs typeface="+mn-cs"/>
                    </a:rPr>
                    <m:t>=</m:t>
                  </m:r>
                  <m:r>
                    <a:rPr lang="en-IN" sz="1100" b="1" i="0">
                      <a:solidFill>
                        <a:srgbClr val="FF0000"/>
                      </a:solidFill>
                      <a:latin typeface="Cambria Math" panose="02040503050406030204" pitchFamily="18" charset="0"/>
                      <a:ea typeface="+mn-ea"/>
                      <a:cs typeface="+mn-cs"/>
                    </a:rPr>
                    <m:t>𝟏𝟑</m:t>
                  </m:r>
                  <m:r>
                    <a:rPr lang="en-IN" sz="1100" b="1" i="0">
                      <a:solidFill>
                        <a:srgbClr val="FF0000"/>
                      </a:solidFill>
                      <a:latin typeface="Cambria Math" panose="02040503050406030204" pitchFamily="18" charset="0"/>
                      <a:ea typeface="+mn-ea"/>
                      <a:cs typeface="+mn-cs"/>
                    </a:rPr>
                    <m:t>,</m:t>
                  </m:r>
                  <m:r>
                    <a:rPr lang="en-IN" sz="1100" b="1" i="0">
                      <a:solidFill>
                        <a:srgbClr val="FF0000"/>
                      </a:solidFill>
                      <a:latin typeface="Cambria Math" panose="02040503050406030204" pitchFamily="18" charset="0"/>
                      <a:ea typeface="+mn-ea"/>
                      <a:cs typeface="+mn-cs"/>
                    </a:rPr>
                    <m:t>𝟖𝟐𝟒</m:t>
                  </m:r>
                </m:oMath>
              </a14:m>
              <a:endParaRPr lang="en-IN" sz="1400" b="1">
                <a:solidFill>
                  <a:sysClr val="windowText" lastClr="000000"/>
                </a:solidFill>
              </a:endParaRPr>
            </a:p>
            <a:p>
              <a:r>
                <a:rPr lang="en-IN" sz="1400" b="1">
                  <a:solidFill>
                    <a:sysClr val="windowText" lastClr="000000"/>
                  </a:solidFill>
                </a:rPr>
                <a:t>~33% reduction</a:t>
              </a:r>
              <a:r>
                <a:rPr lang="en-IN" sz="1400">
                  <a:solidFill>
                    <a:sysClr val="windowText" lastClr="000000"/>
                  </a:solidFill>
                </a:rPr>
                <a:t> with no change in usage pattern.</a:t>
              </a:r>
            </a:p>
            <a:p>
              <a:r>
                <a:rPr lang="en-IN" sz="1400" b="1">
                  <a:solidFill>
                    <a:sysClr val="windowText" lastClr="000000"/>
                  </a:solidFill>
                </a:rPr>
                <a:t>Interpretation: </a:t>
              </a:r>
              <a:r>
                <a:rPr lang="en-IN" sz="1400">
                  <a:solidFill>
                    <a:sysClr val="windowText" lastClr="000000"/>
                  </a:solidFill>
                </a:rPr>
                <a:t>Right-sizing delivers immediate, predictable savings and is the lowest-risk optimization lever.</a:t>
              </a:r>
            </a:p>
            <a:p>
              <a:br>
                <a:rPr lang="en-IN" sz="1400">
                  <a:solidFill>
                    <a:sysClr val="windowText" lastClr="000000"/>
                  </a:solidFill>
                </a:rPr>
              </a:br>
              <a:endParaRPr lang="en-IN" sz="1400">
                <a:solidFill>
                  <a:sysClr val="windowText" lastClr="000000"/>
                </a:solidFill>
              </a:endParaRPr>
            </a:p>
            <a:p>
              <a:r>
                <a:rPr lang="en-IN" sz="1400" b="1">
                  <a:solidFill>
                    <a:sysClr val="windowText" lastClr="000000"/>
                  </a:solidFill>
                </a:rPr>
                <a:t>2. What additional savings are achievable with auto-scaling?</a:t>
              </a:r>
            </a:p>
            <a:p>
              <a:endParaRPr lang="en-IN" sz="1400">
                <a:solidFill>
                  <a:sysClr val="windowText" lastClr="000000"/>
                </a:solidFill>
              </a:endParaRPr>
            </a:p>
            <a:p>
              <a:r>
                <a:rPr lang="en-IN" sz="1400">
                  <a:solidFill>
                    <a:sysClr val="windowText" lastClr="000000"/>
                  </a:solidFill>
                </a:rPr>
                <a:t>From the </a:t>
              </a:r>
              <a:r>
                <a:rPr lang="en-IN" sz="1400" b="1">
                  <a:solidFill>
                    <a:sysClr val="windowText" lastClr="000000"/>
                  </a:solidFill>
                </a:rPr>
                <a:t>Net Savings Heatmap</a:t>
              </a:r>
              <a:r>
                <a:rPr lang="en-IN" sz="1400">
                  <a:solidFill>
                    <a:sysClr val="windowText" lastClr="000000"/>
                  </a:solidFill>
                </a:rPr>
                <a:t>, the best scenarios (low off-peak footprint) show:</a:t>
              </a:r>
            </a:p>
            <a:p>
              <a:r>
                <a:rPr lang="en-IN" sz="1400" b="1">
                  <a:solidFill>
                    <a:sysClr val="windowText" lastClr="000000"/>
                  </a:solidFill>
                </a:rPr>
                <a:t>Maximum net savings:</a:t>
              </a:r>
              <a:r>
                <a:rPr lang="en-IN" sz="1400">
                  <a:solidFill>
                    <a:sysClr val="windowText" lastClr="000000"/>
                  </a:solidFill>
                </a:rPr>
                <a:t> </a:t>
              </a:r>
              <a:r>
                <a:rPr lang="en-IN" sz="1400" b="1">
                  <a:solidFill>
                    <a:sysClr val="windowText" lastClr="000000"/>
                  </a:solidFill>
                </a:rPr>
                <a:t>~$28,800 per year</a:t>
              </a:r>
              <a:endParaRPr lang="en-IN" sz="1400">
                <a:solidFill>
                  <a:sysClr val="windowText" lastClr="000000"/>
                </a:solidFill>
              </a:endParaRPr>
            </a:p>
            <a:p>
              <a:r>
                <a:rPr lang="en-IN" sz="1400">
                  <a:solidFill>
                    <a:sysClr val="windowText" lastClr="000000"/>
                  </a:solidFill>
                </a:rPr>
                <a:t>This occurs when off-peak VMs are aggressively reduced (for example, Peak ≈ 30–40, Off-Peak ≈ 10).</a:t>
              </a:r>
            </a:p>
            <a:p>
              <a:r>
                <a:rPr lang="en-IN" sz="1400">
                  <a:solidFill>
                    <a:sysClr val="windowText" lastClr="000000"/>
                  </a:solidFill>
                </a:rPr>
                <a:t>So, </a:t>
              </a:r>
              <a:r>
                <a:rPr lang="en-IN" sz="1400" b="1">
                  <a:solidFill>
                    <a:sysClr val="windowText" lastClr="000000"/>
                  </a:solidFill>
                </a:rPr>
                <a:t>incremental benefit of auto-scaling over right-sizing: </a:t>
              </a:r>
              <a14:m>
                <m:oMath xmlns:m="http://schemas.openxmlformats.org/officeDocument/2006/math">
                  <m:r>
                    <a:rPr lang="en-IN" sz="1100" b="1" i="1">
                      <a:solidFill>
                        <a:srgbClr val="FF0000"/>
                      </a:solidFill>
                      <a:latin typeface="Cambria Math" panose="02040503050406030204" pitchFamily="18" charset="0"/>
                      <a:ea typeface="+mn-ea"/>
                      <a:cs typeface="+mn-cs"/>
                    </a:rPr>
                    <m:t>𝟐𝟖</m:t>
                  </m:r>
                  <m:r>
                    <a:rPr lang="en-IN" sz="1100" b="1" i="0">
                      <a:solidFill>
                        <a:srgbClr val="FF0000"/>
                      </a:solidFill>
                      <a:latin typeface="Cambria Math" panose="02040503050406030204" pitchFamily="18" charset="0"/>
                      <a:ea typeface="+mn-ea"/>
                      <a:cs typeface="+mn-cs"/>
                    </a:rPr>
                    <m:t>,</m:t>
                  </m:r>
                  <m:r>
                    <a:rPr lang="en-IN" sz="1100" b="1" i="0">
                      <a:solidFill>
                        <a:srgbClr val="FF0000"/>
                      </a:solidFill>
                      <a:latin typeface="Cambria Math" panose="02040503050406030204" pitchFamily="18" charset="0"/>
                      <a:ea typeface="+mn-ea"/>
                      <a:cs typeface="+mn-cs"/>
                    </a:rPr>
                    <m:t>𝟖𝟎𝟎</m:t>
                  </m:r>
                  <m:r>
                    <a:rPr lang="en-IN" sz="1100" b="1" i="0">
                      <a:solidFill>
                        <a:srgbClr val="FF0000"/>
                      </a:solidFill>
                      <a:latin typeface="Cambria Math" panose="02040503050406030204" pitchFamily="18" charset="0"/>
                      <a:ea typeface="+mn-ea"/>
                      <a:cs typeface="+mn-cs"/>
                    </a:rPr>
                    <m:t>−</m:t>
                  </m:r>
                  <m:r>
                    <a:rPr lang="en-IN" sz="1100" b="1" i="0">
                      <a:solidFill>
                        <a:srgbClr val="FF0000"/>
                      </a:solidFill>
                      <a:latin typeface="Cambria Math" panose="02040503050406030204" pitchFamily="18" charset="0"/>
                      <a:ea typeface="+mn-ea"/>
                      <a:cs typeface="+mn-cs"/>
                    </a:rPr>
                    <m:t>𝟏𝟑</m:t>
                  </m:r>
                  <m:r>
                    <a:rPr lang="en-IN" sz="1100" b="1" i="0">
                      <a:solidFill>
                        <a:srgbClr val="FF0000"/>
                      </a:solidFill>
                      <a:latin typeface="Cambria Math" panose="02040503050406030204" pitchFamily="18" charset="0"/>
                      <a:ea typeface="+mn-ea"/>
                      <a:cs typeface="+mn-cs"/>
                    </a:rPr>
                    <m:t>,</m:t>
                  </m:r>
                  <m:r>
                    <a:rPr lang="en-IN" sz="1100" b="1" i="0">
                      <a:solidFill>
                        <a:srgbClr val="FF0000"/>
                      </a:solidFill>
                      <a:latin typeface="Cambria Math" panose="02040503050406030204" pitchFamily="18" charset="0"/>
                      <a:ea typeface="+mn-ea"/>
                      <a:cs typeface="+mn-cs"/>
                    </a:rPr>
                    <m:t>𝟖𝟐𝟒</m:t>
                  </m:r>
                  <m:r>
                    <a:rPr lang="en-IN" sz="1100" b="1" i="0">
                      <a:solidFill>
                        <a:srgbClr val="FF0000"/>
                      </a:solidFill>
                      <a:latin typeface="Cambria Math" panose="02040503050406030204" pitchFamily="18" charset="0"/>
                      <a:ea typeface="+mn-ea"/>
                      <a:cs typeface="+mn-cs"/>
                    </a:rPr>
                    <m:t>=</m:t>
                  </m:r>
                  <m:r>
                    <m:rPr>
                      <m:nor/>
                    </m:rPr>
                    <a:rPr lang="en-IN" sz="1100" b="1" i="1">
                      <a:solidFill>
                        <a:srgbClr val="FF0000"/>
                      </a:solidFill>
                      <a:latin typeface="+mn-lt"/>
                      <a:ea typeface="+mn-ea"/>
                      <a:cs typeface="+mn-cs"/>
                    </a:rPr>
                    <m:t> </m:t>
                  </m:r>
                  <m:r>
                    <a:rPr lang="en-IN" sz="1100" b="1" i="0">
                      <a:solidFill>
                        <a:srgbClr val="FF0000"/>
                      </a:solidFill>
                      <a:latin typeface="Cambria Math" panose="02040503050406030204" pitchFamily="18" charset="0"/>
                      <a:ea typeface="+mn-ea"/>
                      <a:cs typeface="+mn-cs"/>
                    </a:rPr>
                    <m:t>𝟏𝟒</m:t>
                  </m:r>
                  <m:r>
                    <a:rPr lang="en-IN" sz="1100" b="1" i="0">
                      <a:solidFill>
                        <a:srgbClr val="FF0000"/>
                      </a:solidFill>
                      <a:latin typeface="Cambria Math" panose="02040503050406030204" pitchFamily="18" charset="0"/>
                      <a:ea typeface="+mn-ea"/>
                      <a:cs typeface="+mn-cs"/>
                    </a:rPr>
                    <m:t>,</m:t>
                  </m:r>
                  <m:r>
                    <a:rPr lang="en-IN" sz="1100" b="1" i="0">
                      <a:solidFill>
                        <a:srgbClr val="FF0000"/>
                      </a:solidFill>
                      <a:latin typeface="Cambria Math" panose="02040503050406030204" pitchFamily="18" charset="0"/>
                      <a:ea typeface="+mn-ea"/>
                      <a:cs typeface="+mn-cs"/>
                    </a:rPr>
                    <m:t>𝟗𝟕𝟔</m:t>
                  </m:r>
                </m:oMath>
              </a14:m>
              <a:endParaRPr lang="en-IN" sz="1400" b="1">
                <a:solidFill>
                  <a:srgbClr val="FF0000"/>
                </a:solidFill>
              </a:endParaRPr>
            </a:p>
            <a:p>
              <a:endParaRPr lang="en-IN" sz="1400">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tx1"/>
                  </a:solidFill>
                  <a:effectLst/>
                  <a:latin typeface="+mn-lt"/>
                  <a:ea typeface="+mn-ea"/>
                  <a:cs typeface="+mn-cs"/>
                </a:rPr>
                <a:t>Interpretation:</a:t>
              </a:r>
              <a:endParaRPr lang="en-IN" sz="1400">
                <a:effectLst/>
              </a:endParaRPr>
            </a:p>
            <a:p>
              <a:r>
                <a:rPr lang="en-IN" sz="1400">
                  <a:solidFill>
                    <a:sysClr val="windowText" lastClr="000000"/>
                  </a:solidFill>
                </a:rPr>
                <a:t>Auto-scaling can deliver </a:t>
              </a:r>
              <a:r>
                <a:rPr lang="en-IN" sz="1400" b="1">
                  <a:solidFill>
                    <a:sysClr val="windowText" lastClr="000000"/>
                  </a:solidFill>
                </a:rPr>
                <a:t>~$15K extra per year</a:t>
              </a:r>
              <a:r>
                <a:rPr lang="en-IN" sz="1400">
                  <a:solidFill>
                    <a:sysClr val="windowText" lastClr="000000"/>
                  </a:solidFill>
                </a:rPr>
                <a:t> beyond right-sizing.</a:t>
              </a:r>
            </a:p>
            <a:p>
              <a:r>
                <a:rPr lang="en-IN" sz="1400">
                  <a:solidFill>
                    <a:sysClr val="windowText" lastClr="000000"/>
                  </a:solidFill>
                </a:rPr>
                <a:t>Auto-scaling converts demand variability into financial value by eliminating idle capacity during off-peak hours.</a:t>
              </a:r>
            </a:p>
            <a:p>
              <a:br>
                <a:rPr lang="en-IN" sz="1400">
                  <a:solidFill>
                    <a:sysClr val="windowText" lastClr="000000"/>
                  </a:solidFill>
                </a:rPr>
              </a:br>
              <a:endParaRPr lang="en-IN" sz="1400">
                <a:solidFill>
                  <a:sysClr val="windowText" lastClr="000000"/>
                </a:solidFill>
              </a:endParaRPr>
            </a:p>
            <a:p>
              <a:r>
                <a:rPr lang="en-IN" sz="1400" b="1">
                  <a:solidFill>
                    <a:sysClr val="windowText" lastClr="000000"/>
                  </a:solidFill>
                </a:rPr>
                <a:t>Break-Even Insight from Heatmap</a:t>
              </a:r>
            </a:p>
            <a:p>
              <a:r>
                <a:rPr lang="en-IN" sz="1400">
                  <a:solidFill>
                    <a:sysClr val="windowText" lastClr="000000"/>
                  </a:solidFill>
                </a:rPr>
                <a:t>Heatmap clearly shows: </a:t>
              </a:r>
            </a:p>
            <a:p>
              <a:r>
                <a:rPr lang="en-IN" sz="1400" b="1">
                  <a:solidFill>
                    <a:sysClr val="windowText" lastClr="000000"/>
                  </a:solidFill>
                </a:rPr>
                <a:t>Break-even zone around Net Savings ≈ 0</a:t>
              </a:r>
              <a:r>
                <a:rPr lang="en-IN" sz="1400">
                  <a:solidFill>
                    <a:sysClr val="windowText" lastClr="000000"/>
                  </a:solidFill>
                </a:rPr>
                <a:t> (highlighted near ~$0–$288).</a:t>
              </a:r>
            </a:p>
            <a:p>
              <a:r>
                <a:rPr lang="en-IN" sz="1400">
                  <a:solidFill>
                    <a:sysClr val="windowText" lastClr="000000"/>
                  </a:solidFill>
                </a:rPr>
                <a:t>Beyond this zone (higher Off-Peak VMs like ~60–70+ with moderate/high Peak),</a:t>
              </a:r>
              <a:br>
                <a:rPr lang="en-IN" sz="1400">
                  <a:solidFill>
                    <a:sysClr val="windowText" lastClr="000000"/>
                  </a:solidFill>
                </a:rPr>
              </a:br>
              <a:r>
                <a:rPr lang="en-IN" sz="1400" b="1">
                  <a:solidFill>
                    <a:sysClr val="windowText" lastClr="000000"/>
                  </a:solidFill>
                </a:rPr>
                <a:t>Net savings turn negative</a:t>
              </a:r>
              <a:r>
                <a:rPr lang="en-IN" sz="1400">
                  <a:solidFill>
                    <a:sysClr val="windowText" lastClr="000000"/>
                  </a:solidFill>
                </a:rPr>
                <a:t> (e.g., −$4K, −$9K, −$13K, −$17K).</a:t>
              </a:r>
            </a:p>
            <a:p>
              <a:endParaRPr lang="en-IN" sz="1400">
                <a:solidFill>
                  <a:sysClr val="windowText" lastClr="000000"/>
                </a:solidFill>
              </a:endParaRPr>
            </a:p>
            <a:p>
              <a:r>
                <a:rPr lang="en-IN" sz="1400">
                  <a:solidFill>
                    <a:srgbClr val="FF0000"/>
                  </a:solidFill>
                </a:rPr>
                <a:t>This means:</a:t>
              </a:r>
              <a:r>
                <a:rPr lang="en-IN" sz="1400" baseline="0">
                  <a:solidFill>
                    <a:srgbClr val="FF0000"/>
                  </a:solidFill>
                </a:rPr>
                <a:t> </a:t>
              </a:r>
              <a:r>
                <a:rPr lang="en-IN" sz="1400">
                  <a:solidFill>
                    <a:srgbClr val="FF0000"/>
                  </a:solidFill>
                </a:rPr>
                <a:t>If off-peak capacity remains too high relative to peak, auto-scaling </a:t>
              </a:r>
              <a:r>
                <a:rPr lang="en-IN" sz="1400" b="1">
                  <a:solidFill>
                    <a:srgbClr val="FF0000"/>
                  </a:solidFill>
                </a:rPr>
                <a:t>stops adding value</a:t>
              </a:r>
              <a:r>
                <a:rPr lang="en-IN" sz="1400">
                  <a:solidFill>
                    <a:srgbClr val="FF0000"/>
                  </a:solidFill>
                </a:rPr>
                <a:t> and can even </a:t>
              </a:r>
              <a:r>
                <a:rPr lang="en-IN" sz="1400" b="1">
                  <a:solidFill>
                    <a:srgbClr val="FF0000"/>
                  </a:solidFill>
                </a:rPr>
                <a:t>destroy value</a:t>
              </a:r>
              <a:r>
                <a:rPr lang="en-IN" sz="1400">
                  <a:solidFill>
                    <a:srgbClr val="FF0000"/>
                  </a:solidFill>
                </a:rPr>
                <a:t> compared to a simple right-sized always-on setup.</a:t>
              </a:r>
            </a:p>
            <a:p>
              <a:br>
                <a:rPr lang="en-IN" sz="1400">
                  <a:solidFill>
                    <a:sysClr val="windowText" lastClr="000000"/>
                  </a:solidFill>
                </a:rPr>
              </a:br>
              <a:r>
                <a:rPr lang="en-IN" sz="1400" b="1">
                  <a:solidFill>
                    <a:sysClr val="windowText" lastClr="000000"/>
                  </a:solidFill>
                </a:rPr>
                <a:t>3. Which strategy delivers the highest financial value over a multi-year horizon?</a:t>
              </a:r>
            </a:p>
            <a:p>
              <a:endParaRPr lang="en-IN" sz="1400" b="1">
                <a:solidFill>
                  <a:sysClr val="windowText" lastClr="000000"/>
                </a:solidFill>
              </a:endParaRPr>
            </a:p>
            <a:p>
              <a:r>
                <a:rPr lang="en-IN" sz="1400" b="1">
                  <a:solidFill>
                    <a:sysClr val="windowText" lastClr="000000"/>
                  </a:solidFill>
                </a:rPr>
                <a:t>Right-Sizing + Auto-Scaling (when off-peak reduction is meaningful)</a:t>
              </a:r>
            </a:p>
            <a:p>
              <a:r>
                <a:rPr lang="en-IN" sz="1400" b="1">
                  <a:solidFill>
                    <a:sysClr val="windowText" lastClr="000000"/>
                  </a:solidFill>
                </a:rPr>
                <a:t>Best annual savings:</a:t>
              </a:r>
              <a:r>
                <a:rPr lang="en-IN" sz="1400">
                  <a:solidFill>
                    <a:sysClr val="windowText" lastClr="000000"/>
                  </a:solidFill>
                </a:rPr>
                <a:t> up to </a:t>
              </a:r>
              <a:r>
                <a:rPr lang="en-IN" sz="1400" b="1">
                  <a:solidFill>
                    <a:sysClr val="windowText" lastClr="000000"/>
                  </a:solidFill>
                </a:rPr>
                <a:t>~$28.8K</a:t>
              </a:r>
              <a:endParaRPr lang="en-IN" sz="1400">
                <a:solidFill>
                  <a:sysClr val="windowText" lastClr="000000"/>
                </a:solidFill>
              </a:endParaRPr>
            </a:p>
            <a:p>
              <a:r>
                <a:rPr lang="en-IN" sz="1400">
                  <a:solidFill>
                    <a:sysClr val="windowText" lastClr="000000"/>
                  </a:solidFill>
                </a:rPr>
                <a:t>Over 3 years (ignoring discounting for simplicity): </a:t>
              </a:r>
              <a:r>
                <a:rPr lang="en-IN" sz="1400" b="1">
                  <a:solidFill>
                    <a:sysClr val="windowText" lastClr="000000"/>
                  </a:solidFill>
                </a:rPr>
                <a:t>~$85K+</a:t>
              </a:r>
              <a:endParaRPr lang="en-IN" sz="1400">
                <a:solidFill>
                  <a:sysClr val="windowText" lastClr="000000"/>
                </a:solidFill>
              </a:endParaRPr>
            </a:p>
            <a:p>
              <a:r>
                <a:rPr lang="en-IN" sz="1400">
                  <a:solidFill>
                    <a:sysClr val="windowText" lastClr="000000"/>
                  </a:solidFill>
                </a:rPr>
                <a:t>Highest NPV among all strategies in your model.</a:t>
              </a:r>
            </a:p>
            <a:p>
              <a:endParaRPr lang="en-IN" sz="1400">
                <a:solidFill>
                  <a:sysClr val="windowText" lastClr="000000"/>
                </a:solidFill>
              </a:endParaRPr>
            </a:p>
            <a:p>
              <a:r>
                <a:rPr lang="en-IN" sz="1400" b="1">
                  <a:solidFill>
                    <a:sysClr val="windowText" lastClr="000000"/>
                  </a:solidFill>
                </a:rPr>
                <a:t>🥈 Right-Sizing Only</a:t>
              </a:r>
            </a:p>
            <a:p>
              <a:r>
                <a:rPr lang="en-IN" sz="1400" b="1">
                  <a:solidFill>
                    <a:sysClr val="windowText" lastClr="000000"/>
                  </a:solidFill>
                </a:rPr>
                <a:t>Stable savings:</a:t>
              </a:r>
              <a:r>
                <a:rPr lang="en-IN" sz="1400">
                  <a:solidFill>
                    <a:sysClr val="windowText" lastClr="000000"/>
                  </a:solidFill>
                </a:rPr>
                <a:t> </a:t>
              </a:r>
              <a:r>
                <a:rPr lang="en-IN" sz="1400" b="1">
                  <a:solidFill>
                    <a:sysClr val="windowText" lastClr="000000"/>
                  </a:solidFill>
                </a:rPr>
                <a:t>$13.8K/year (</a:t>
              </a:r>
              <a:r>
                <a:rPr lang="en-IN" sz="1400">
                  <a:solidFill>
                    <a:sysClr val="windowText" lastClr="000000"/>
                  </a:solidFill>
                </a:rPr>
                <a:t>Always positive, low risk)</a:t>
              </a:r>
            </a:p>
            <a:p>
              <a:r>
                <a:rPr lang="en-IN" sz="1400" b="1">
                  <a:solidFill>
                    <a:sysClr val="windowText" lastClr="000000"/>
                  </a:solidFill>
                </a:rPr>
                <a:t>❌ Auto-Scaling without sufficient downscaling</a:t>
              </a:r>
            </a:p>
            <a:p>
              <a:r>
                <a:rPr lang="en-IN" sz="1400">
                  <a:solidFill>
                    <a:sysClr val="windowText" lastClr="000000"/>
                  </a:solidFill>
                </a:rPr>
                <a:t>Can fall into </a:t>
              </a:r>
              <a:r>
                <a:rPr lang="en-IN" sz="1400" b="1">
                  <a:solidFill>
                    <a:sysClr val="windowText" lastClr="000000"/>
                  </a:solidFill>
                </a:rPr>
                <a:t>negative savings</a:t>
              </a:r>
              <a:r>
                <a:rPr lang="en-IN" sz="1400">
                  <a:solidFill>
                    <a:sysClr val="windowText" lastClr="000000"/>
                  </a:solidFill>
                </a:rPr>
                <a:t> when off-peak demand is high.</a:t>
              </a:r>
            </a:p>
            <a:p>
              <a:r>
                <a:rPr lang="en-IN" sz="1400">
                  <a:solidFill>
                    <a:sysClr val="windowText" lastClr="000000"/>
                  </a:solidFill>
                </a:rPr>
                <a:t>Financially inferior to right-sizing alone in those zones.</a:t>
              </a:r>
            </a:p>
            <a:p>
              <a:r>
                <a:rPr lang="en-IN" sz="1400" b="1">
                  <a:solidFill>
                    <a:sysClr val="windowText" lastClr="000000"/>
                  </a:solidFill>
                </a:rPr>
                <a:t>Interpretation: </a:t>
              </a:r>
              <a:r>
                <a:rPr lang="en-IN" sz="1400">
                  <a:solidFill>
                    <a:sysClr val="windowText" lastClr="000000"/>
                  </a:solidFill>
                </a:rPr>
                <a:t>The combined strategy delivers the highest value, but only when there is strong confidence that off-peak demand can be materially reduced. Otherwise, right-sizing alone is the safer choice.</a:t>
              </a:r>
            </a:p>
            <a:p>
              <a:br>
                <a:rPr lang="en-IN" sz="1400">
                  <a:solidFill>
                    <a:sysClr val="windowText" lastClr="000000"/>
                  </a:solidFill>
                </a:rPr>
              </a:br>
              <a:endParaRPr lang="en-IN" sz="1400">
                <a:solidFill>
                  <a:sysClr val="windowText" lastClr="000000"/>
                </a:solidFill>
              </a:endParaRPr>
            </a:p>
            <a:p>
              <a:r>
                <a:rPr lang="en-IN" sz="1400" b="1">
                  <a:solidFill>
                    <a:sysClr val="windowText" lastClr="000000"/>
                  </a:solidFill>
                </a:rPr>
                <a:t>🏁 Final Executive Conclusion (Updated)</a:t>
              </a:r>
            </a:p>
            <a:p>
              <a:r>
                <a:rPr lang="en-IN" sz="1400">
                  <a:solidFill>
                    <a:sysClr val="windowText" lastClr="000000"/>
                  </a:solidFill>
                </a:rPr>
                <a:t>This analysis shows that right-sizing alone can reduce compute costs by ~33%, delivering reliable baseline savings of about $13.8K per year.</a:t>
              </a:r>
            </a:p>
            <a:p>
              <a:r>
                <a:rPr lang="en-IN" sz="1400">
                  <a:solidFill>
                    <a:sysClr val="windowText" lastClr="000000"/>
                  </a:solidFill>
                </a:rPr>
                <a:t>When combined with effective auto-scaling that significantly lowers off-peak capacity, total savings can increase to nearly $28.8K per year, representing over 65–70% reduction versus a fixed baseline deployment.</a:t>
              </a:r>
            </a:p>
            <a:p>
              <a:r>
                <a:rPr lang="en-IN" sz="1400">
                  <a:solidFill>
                    <a:sysClr val="windowText" lastClr="000000"/>
                  </a:solidFill>
                </a:rPr>
                <a:t>However, the Net Savings heatmap and break-even contour reveal that auto-scaling is sensitive to workload behavior. If off-peak utilization remains high, the strategy can quickly approach break-even or even become value-negative.</a:t>
              </a:r>
            </a:p>
            <a:p>
              <a:r>
                <a:rPr lang="en-IN" sz="1400">
                  <a:solidFill>
                    <a:sysClr val="windowText" lastClr="000000"/>
                  </a:solidFill>
                </a:rPr>
                <a:t>Therefore, the highest financial value over a multi-year horizon is achieved through </a:t>
              </a:r>
              <a:r>
                <a:rPr lang="en-IN" sz="1400" b="1">
                  <a:solidFill>
                    <a:sysClr val="windowText" lastClr="000000"/>
                  </a:solidFill>
                </a:rPr>
                <a:t>right-sizing plus disciplined auto-scaling</a:t>
              </a:r>
              <a:r>
                <a:rPr lang="en-IN" sz="1400">
                  <a:solidFill>
                    <a:sysClr val="windowText" lastClr="000000"/>
                  </a:solidFill>
                </a:rPr>
                <a:t>, applied only when workload patterns clearly support deep off-peak reduction. In uncertain scenarios, right-sizing alone remains the most robust optimization choice.</a:t>
              </a:r>
            </a:p>
            <a:p>
              <a:br>
                <a:rPr lang="en-IN" sz="1400">
                  <a:solidFill>
                    <a:sysClr val="windowText" lastClr="000000"/>
                  </a:solidFill>
                </a:rPr>
              </a:br>
              <a:endParaRPr lang="en-IN" sz="1400">
                <a:solidFill>
                  <a:sysClr val="windowText" lastClr="000000"/>
                </a:solidFill>
              </a:endParaRPr>
            </a:p>
            <a:p>
              <a:r>
                <a:rPr lang="en-IN" sz="1400" b="1">
                  <a:solidFill>
                    <a:sysClr val="windowText" lastClr="000000"/>
                  </a:solidFill>
                </a:rPr>
                <a:t>Final Summarized Answers</a:t>
              </a:r>
            </a:p>
            <a:p>
              <a:endParaRPr lang="en-IN" sz="1400" b="1">
                <a:solidFill>
                  <a:sysClr val="windowText" lastClr="000000"/>
                </a:solidFill>
              </a:endParaRPr>
            </a:p>
            <a:p>
              <a:r>
                <a:rPr lang="en-IN" sz="1400" b="1">
                  <a:solidFill>
                    <a:sysClr val="windowText" lastClr="000000"/>
                  </a:solidFill>
                </a:rPr>
                <a:t>Right-sizing alone saves:</a:t>
              </a:r>
              <a:r>
                <a:rPr lang="en-IN" sz="1400">
                  <a:solidFill>
                    <a:sysClr val="windowText" lastClr="000000"/>
                  </a:solidFill>
                </a:rPr>
                <a:t> </a:t>
              </a:r>
              <a:r>
                <a:rPr lang="en-IN" sz="1400" b="1">
                  <a:solidFill>
                    <a:sysClr val="windowText" lastClr="000000"/>
                  </a:solidFill>
                </a:rPr>
                <a:t>~$13.8K/year (~33%)</a:t>
              </a:r>
            </a:p>
            <a:p>
              <a:endParaRPr lang="en-IN" sz="1400">
                <a:solidFill>
                  <a:sysClr val="windowText" lastClr="000000"/>
                </a:solidFill>
              </a:endParaRPr>
            </a:p>
            <a:p>
              <a:r>
                <a:rPr lang="en-IN" sz="1400" b="1">
                  <a:solidFill>
                    <a:sysClr val="windowText" lastClr="000000"/>
                  </a:solidFill>
                </a:rPr>
                <a:t>Additional savings from auto-scaling:</a:t>
              </a:r>
              <a:r>
                <a:rPr lang="en-IN" sz="1400">
                  <a:solidFill>
                    <a:sysClr val="windowText" lastClr="000000"/>
                  </a:solidFill>
                </a:rPr>
                <a:t> up to </a:t>
              </a:r>
              <a:r>
                <a:rPr lang="en-IN" sz="1400" b="1">
                  <a:solidFill>
                    <a:sysClr val="windowText" lastClr="000000"/>
                  </a:solidFill>
                </a:rPr>
                <a:t>~$15K/year</a:t>
              </a:r>
            </a:p>
            <a:p>
              <a:endParaRPr lang="en-IN" sz="1400">
                <a:solidFill>
                  <a:sysClr val="windowText" lastClr="000000"/>
                </a:solidFill>
              </a:endParaRPr>
            </a:p>
            <a:p>
              <a:r>
                <a:rPr lang="en-IN" sz="1400" b="1">
                  <a:solidFill>
                    <a:sysClr val="windowText" lastClr="000000"/>
                  </a:solidFill>
                </a:rPr>
                <a:t>Best strategy over multiple years: Right-Sizing + Auto-Scaling</a:t>
              </a:r>
              <a:r>
                <a:rPr lang="en-IN" sz="1400">
                  <a:solidFill>
                    <a:sysClr val="windowText" lastClr="000000"/>
                  </a:solidFill>
                </a:rPr>
                <a:t>, </a:t>
              </a:r>
              <a:r>
                <a:rPr lang="en-IN" sz="1400" i="1">
                  <a:solidFill>
                    <a:sysClr val="windowText" lastClr="000000"/>
                  </a:solidFill>
                </a:rPr>
                <a:t>when off-peak VMs can be cut to ~50–60% (or lower) of peak</a:t>
              </a:r>
              <a:r>
                <a:rPr lang="en-IN" sz="1400">
                  <a:solidFill>
                    <a:sysClr val="windowText" lastClr="000000"/>
                  </a:solidFill>
                </a:rPr>
                <a:t>; otherwise, </a:t>
              </a:r>
              <a:r>
                <a:rPr lang="en-IN" sz="1400" b="1">
                  <a:solidFill>
                    <a:sysClr val="windowText" lastClr="000000"/>
                  </a:solidFill>
                </a:rPr>
                <a:t>Right-Sizing only</a:t>
              </a:r>
              <a:r>
                <a:rPr lang="en-IN" sz="1400">
                  <a:solidFill>
                    <a:sysClr val="windowText" lastClr="000000"/>
                  </a:solidFill>
                </a:rPr>
                <a:t>.</a:t>
              </a:r>
            </a:p>
            <a:p>
              <a:endParaRPr lang="en-IN" sz="1400">
                <a:solidFill>
                  <a:sysClr val="windowText" lastClr="000000"/>
                </a:solidFill>
              </a:endParaRPr>
            </a:p>
          </xdr:txBody>
        </xdr:sp>
      </mc:Choice>
      <mc:Fallback xmlns="">
        <xdr:sp macro="" textlink="">
          <xdr:nvSpPr>
            <xdr:cNvPr id="13" name="TextBox 12">
              <a:extLst>
                <a:ext uri="{FF2B5EF4-FFF2-40B4-BE49-F238E27FC236}">
                  <a16:creationId xmlns:a16="http://schemas.microsoft.com/office/drawing/2014/main" id="{C24F1A85-E67B-4D96-B9C8-12AD7B190D4D}"/>
                </a:ext>
              </a:extLst>
            </xdr:cNvPr>
            <xdr:cNvSpPr txBox="1"/>
          </xdr:nvSpPr>
          <xdr:spPr>
            <a:xfrm>
              <a:off x="0" y="16192500"/>
              <a:ext cx="13487400" cy="15293289"/>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400" b="1">
                  <a:solidFill>
                    <a:sysClr val="windowText" lastClr="000000"/>
                  </a:solidFill>
                </a:rPr>
                <a:t>🧾 Final Interpretation </a:t>
              </a:r>
            </a:p>
            <a:p>
              <a:r>
                <a:rPr lang="en-IN" sz="1400" b="0">
                  <a:solidFill>
                    <a:sysClr val="windowText" lastClr="000000"/>
                  </a:solidFill>
                </a:rPr>
                <a:t>🔹 Baseline (Always-On Deployment)</a:t>
              </a:r>
            </a:p>
            <a:p>
              <a:r>
                <a:rPr lang="en-IN" sz="1400" b="0">
                  <a:solidFill>
                    <a:sysClr val="windowText" lastClr="000000"/>
                  </a:solidFill>
                </a:rPr>
                <a:t>40 VMs × 24×7 × $0.12/hr</a:t>
              </a:r>
            </a:p>
            <a:p>
              <a:r>
                <a:rPr lang="en-IN" sz="1400" b="0">
                  <a:solidFill>
                    <a:sysClr val="windowText" lastClr="000000"/>
                  </a:solidFill>
                </a:rPr>
                <a:t>Annual Cost: $41,472</a:t>
              </a:r>
            </a:p>
            <a:p>
              <a:br>
                <a:rPr lang="en-IN" sz="1400">
                  <a:solidFill>
                    <a:sysClr val="windowText" lastClr="000000"/>
                  </a:solidFill>
                </a:rPr>
              </a:br>
              <a:endParaRPr lang="en-IN" sz="1400">
                <a:solidFill>
                  <a:sysClr val="windowText" lastClr="000000"/>
                </a:solidFill>
              </a:endParaRPr>
            </a:p>
            <a:p>
              <a:r>
                <a:rPr lang="en-IN" sz="1400" b="1">
                  <a:solidFill>
                    <a:sysClr val="windowText" lastClr="000000"/>
                  </a:solidFill>
                </a:rPr>
                <a:t> 1. How much cost can be reduced through right-sizing alone?</a:t>
              </a:r>
            </a:p>
            <a:p>
              <a:endParaRPr lang="en-IN" sz="1400" b="1">
                <a:solidFill>
                  <a:sysClr val="windowText" lastClr="000000"/>
                </a:solidFill>
              </a:endParaRPr>
            </a:p>
            <a:p>
              <a:r>
                <a:rPr lang="en-IN" sz="1400" b="1">
                  <a:solidFill>
                    <a:sysClr val="windowText" lastClr="000000"/>
                  </a:solidFill>
                </a:rPr>
                <a:t>Right-Sized Rate:</a:t>
              </a:r>
              <a:r>
                <a:rPr lang="en-IN" sz="1400">
                  <a:solidFill>
                    <a:sysClr val="windowText" lastClr="000000"/>
                  </a:solidFill>
                </a:rPr>
                <a:t> $0.08/hr</a:t>
              </a:r>
            </a:p>
            <a:p>
              <a:r>
                <a:rPr lang="en-IN" sz="1400" b="1">
                  <a:solidFill>
                    <a:sysClr val="windowText" lastClr="000000"/>
                  </a:solidFill>
                </a:rPr>
                <a:t>Right-Sized Annual Cost:</a:t>
              </a:r>
              <a:r>
                <a:rPr lang="en-IN" sz="1400">
                  <a:solidFill>
                    <a:sysClr val="windowText" lastClr="000000"/>
                  </a:solidFill>
                </a:rPr>
                <a:t> </a:t>
              </a:r>
              <a:r>
                <a:rPr lang="en-IN" sz="1400" b="1">
                  <a:solidFill>
                    <a:sysClr val="windowText" lastClr="000000"/>
                  </a:solidFill>
                </a:rPr>
                <a:t>$27,648</a:t>
              </a:r>
              <a:endParaRPr lang="en-IN" sz="1400">
                <a:solidFill>
                  <a:sysClr val="windowText" lastClr="000000"/>
                </a:solidFill>
              </a:endParaRPr>
            </a:p>
            <a:p>
              <a:r>
                <a:rPr lang="en-IN" sz="1400" b="1">
                  <a:solidFill>
                    <a:sysClr val="windowText" lastClr="000000"/>
                  </a:solidFill>
                </a:rPr>
                <a:t>Annual savings from right-sizing only: </a:t>
              </a:r>
              <a:r>
                <a:rPr lang="en-IN" sz="1100" b="1" i="0">
                  <a:solidFill>
                    <a:srgbClr val="FF0000"/>
                  </a:solidFill>
                  <a:latin typeface="+mn-lt"/>
                  <a:ea typeface="+mn-ea"/>
                  <a:cs typeface="+mn-cs"/>
                </a:rPr>
                <a:t>𝟒𝟏,𝟒𝟕𝟐−𝟐𝟕,𝟔𝟒𝟖=𝟏𝟑,𝟖𝟐𝟒</a:t>
              </a:r>
              <a:endParaRPr lang="en-IN" sz="1400" b="1">
                <a:solidFill>
                  <a:sysClr val="windowText" lastClr="000000"/>
                </a:solidFill>
              </a:endParaRPr>
            </a:p>
            <a:p>
              <a:r>
                <a:rPr lang="en-IN" sz="1400" b="1">
                  <a:solidFill>
                    <a:sysClr val="windowText" lastClr="000000"/>
                  </a:solidFill>
                </a:rPr>
                <a:t>~33% reduction</a:t>
              </a:r>
              <a:r>
                <a:rPr lang="en-IN" sz="1400">
                  <a:solidFill>
                    <a:sysClr val="windowText" lastClr="000000"/>
                  </a:solidFill>
                </a:rPr>
                <a:t> with no change in usage pattern.</a:t>
              </a:r>
            </a:p>
            <a:p>
              <a:r>
                <a:rPr lang="en-IN" sz="1400" b="1">
                  <a:solidFill>
                    <a:sysClr val="windowText" lastClr="000000"/>
                  </a:solidFill>
                </a:rPr>
                <a:t>Interpretation: </a:t>
              </a:r>
              <a:r>
                <a:rPr lang="en-IN" sz="1400">
                  <a:solidFill>
                    <a:sysClr val="windowText" lastClr="000000"/>
                  </a:solidFill>
                </a:rPr>
                <a:t>Right-sizing delivers immediate, predictable savings and is the lowest-risk optimization lever.</a:t>
              </a:r>
            </a:p>
            <a:p>
              <a:br>
                <a:rPr lang="en-IN" sz="1400">
                  <a:solidFill>
                    <a:sysClr val="windowText" lastClr="000000"/>
                  </a:solidFill>
                </a:rPr>
              </a:br>
              <a:endParaRPr lang="en-IN" sz="1400">
                <a:solidFill>
                  <a:sysClr val="windowText" lastClr="000000"/>
                </a:solidFill>
              </a:endParaRPr>
            </a:p>
            <a:p>
              <a:r>
                <a:rPr lang="en-IN" sz="1400" b="1">
                  <a:solidFill>
                    <a:sysClr val="windowText" lastClr="000000"/>
                  </a:solidFill>
                </a:rPr>
                <a:t>2. What additional savings are achievable with auto-scaling?</a:t>
              </a:r>
            </a:p>
            <a:p>
              <a:endParaRPr lang="en-IN" sz="1400">
                <a:solidFill>
                  <a:sysClr val="windowText" lastClr="000000"/>
                </a:solidFill>
              </a:endParaRPr>
            </a:p>
            <a:p>
              <a:r>
                <a:rPr lang="en-IN" sz="1400">
                  <a:solidFill>
                    <a:sysClr val="windowText" lastClr="000000"/>
                  </a:solidFill>
                </a:rPr>
                <a:t>From the </a:t>
              </a:r>
              <a:r>
                <a:rPr lang="en-IN" sz="1400" b="1">
                  <a:solidFill>
                    <a:sysClr val="windowText" lastClr="000000"/>
                  </a:solidFill>
                </a:rPr>
                <a:t>Net Savings Heatmap</a:t>
              </a:r>
              <a:r>
                <a:rPr lang="en-IN" sz="1400">
                  <a:solidFill>
                    <a:sysClr val="windowText" lastClr="000000"/>
                  </a:solidFill>
                </a:rPr>
                <a:t>, the best scenarios (low off-peak footprint) show:</a:t>
              </a:r>
            </a:p>
            <a:p>
              <a:r>
                <a:rPr lang="en-IN" sz="1400" b="1">
                  <a:solidFill>
                    <a:sysClr val="windowText" lastClr="000000"/>
                  </a:solidFill>
                </a:rPr>
                <a:t>Maximum net savings:</a:t>
              </a:r>
              <a:r>
                <a:rPr lang="en-IN" sz="1400">
                  <a:solidFill>
                    <a:sysClr val="windowText" lastClr="000000"/>
                  </a:solidFill>
                </a:rPr>
                <a:t> </a:t>
              </a:r>
              <a:r>
                <a:rPr lang="en-IN" sz="1400" b="1">
                  <a:solidFill>
                    <a:sysClr val="windowText" lastClr="000000"/>
                  </a:solidFill>
                </a:rPr>
                <a:t>~$28,800 per year</a:t>
              </a:r>
              <a:endParaRPr lang="en-IN" sz="1400">
                <a:solidFill>
                  <a:sysClr val="windowText" lastClr="000000"/>
                </a:solidFill>
              </a:endParaRPr>
            </a:p>
            <a:p>
              <a:r>
                <a:rPr lang="en-IN" sz="1400">
                  <a:solidFill>
                    <a:sysClr val="windowText" lastClr="000000"/>
                  </a:solidFill>
                </a:rPr>
                <a:t>This occurs when off-peak VMs are aggressively reduced (for example, Peak ≈ 30–40, Off-Peak ≈ 10).</a:t>
              </a:r>
            </a:p>
            <a:p>
              <a:r>
                <a:rPr lang="en-IN" sz="1400">
                  <a:solidFill>
                    <a:sysClr val="windowText" lastClr="000000"/>
                  </a:solidFill>
                </a:rPr>
                <a:t>So, </a:t>
              </a:r>
              <a:r>
                <a:rPr lang="en-IN" sz="1400" b="1">
                  <a:solidFill>
                    <a:sysClr val="windowText" lastClr="000000"/>
                  </a:solidFill>
                </a:rPr>
                <a:t>incremental benefit of auto-scaling over right-sizing: </a:t>
              </a:r>
              <a:r>
                <a:rPr lang="en-IN" sz="1100" b="1" i="0">
                  <a:solidFill>
                    <a:srgbClr val="FF0000"/>
                  </a:solidFill>
                  <a:latin typeface="+mn-lt"/>
                  <a:ea typeface="+mn-ea"/>
                  <a:cs typeface="+mn-cs"/>
                </a:rPr>
                <a:t>𝟐𝟖,𝟖𝟎𝟎−𝟏𝟑,𝟖𝟐𝟒=</a:t>
              </a:r>
              <a:r>
                <a:rPr lang="en-IN" sz="1100" b="1" i="0">
                  <a:solidFill>
                    <a:srgbClr val="FF0000"/>
                  </a:solidFill>
                  <a:latin typeface="Cambria Math" panose="02040503050406030204" pitchFamily="18" charset="0"/>
                  <a:ea typeface="+mn-ea"/>
                  <a:cs typeface="+mn-cs"/>
                </a:rPr>
                <a:t>" </a:t>
              </a:r>
              <a:r>
                <a:rPr lang="en-IN" sz="1100" b="1" i="0">
                  <a:solidFill>
                    <a:srgbClr val="FF0000"/>
                  </a:solidFill>
                  <a:latin typeface="+mn-lt"/>
                  <a:ea typeface="+mn-ea"/>
                  <a:cs typeface="+mn-cs"/>
                </a:rPr>
                <a:t>" 𝟏𝟒,𝟗𝟕𝟔</a:t>
              </a:r>
              <a:endParaRPr lang="en-IN" sz="1400" b="1">
                <a:solidFill>
                  <a:srgbClr val="FF0000"/>
                </a:solidFill>
              </a:endParaRPr>
            </a:p>
            <a:p>
              <a:endParaRPr lang="en-IN" sz="1400">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tx1"/>
                  </a:solidFill>
                  <a:effectLst/>
                  <a:latin typeface="+mn-lt"/>
                  <a:ea typeface="+mn-ea"/>
                  <a:cs typeface="+mn-cs"/>
                </a:rPr>
                <a:t>Interpretation:</a:t>
              </a:r>
              <a:endParaRPr lang="en-IN" sz="1400">
                <a:effectLst/>
              </a:endParaRPr>
            </a:p>
            <a:p>
              <a:r>
                <a:rPr lang="en-IN" sz="1400">
                  <a:solidFill>
                    <a:sysClr val="windowText" lastClr="000000"/>
                  </a:solidFill>
                </a:rPr>
                <a:t>Auto-scaling can deliver </a:t>
              </a:r>
              <a:r>
                <a:rPr lang="en-IN" sz="1400" b="1">
                  <a:solidFill>
                    <a:sysClr val="windowText" lastClr="000000"/>
                  </a:solidFill>
                </a:rPr>
                <a:t>~$15K extra per year</a:t>
              </a:r>
              <a:r>
                <a:rPr lang="en-IN" sz="1400">
                  <a:solidFill>
                    <a:sysClr val="windowText" lastClr="000000"/>
                  </a:solidFill>
                </a:rPr>
                <a:t> beyond right-sizing.</a:t>
              </a:r>
            </a:p>
            <a:p>
              <a:r>
                <a:rPr lang="en-IN" sz="1400">
                  <a:solidFill>
                    <a:sysClr val="windowText" lastClr="000000"/>
                  </a:solidFill>
                </a:rPr>
                <a:t>Auto-scaling converts demand variability into financial value by eliminating idle capacity during off-peak hours.</a:t>
              </a:r>
            </a:p>
            <a:p>
              <a:br>
                <a:rPr lang="en-IN" sz="1400">
                  <a:solidFill>
                    <a:sysClr val="windowText" lastClr="000000"/>
                  </a:solidFill>
                </a:rPr>
              </a:br>
              <a:endParaRPr lang="en-IN" sz="1400">
                <a:solidFill>
                  <a:sysClr val="windowText" lastClr="000000"/>
                </a:solidFill>
              </a:endParaRPr>
            </a:p>
            <a:p>
              <a:r>
                <a:rPr lang="en-IN" sz="1400" b="1">
                  <a:solidFill>
                    <a:sysClr val="windowText" lastClr="000000"/>
                  </a:solidFill>
                </a:rPr>
                <a:t>Break-Even Insight from Heatmap</a:t>
              </a:r>
            </a:p>
            <a:p>
              <a:r>
                <a:rPr lang="en-IN" sz="1400">
                  <a:solidFill>
                    <a:sysClr val="windowText" lastClr="000000"/>
                  </a:solidFill>
                </a:rPr>
                <a:t>Heatmap clearly shows: </a:t>
              </a:r>
            </a:p>
            <a:p>
              <a:r>
                <a:rPr lang="en-IN" sz="1400" b="1">
                  <a:solidFill>
                    <a:sysClr val="windowText" lastClr="000000"/>
                  </a:solidFill>
                </a:rPr>
                <a:t>Break-even zone around Net Savings ≈ 0</a:t>
              </a:r>
              <a:r>
                <a:rPr lang="en-IN" sz="1400">
                  <a:solidFill>
                    <a:sysClr val="windowText" lastClr="000000"/>
                  </a:solidFill>
                </a:rPr>
                <a:t> (highlighted near ~$0–$288).</a:t>
              </a:r>
            </a:p>
            <a:p>
              <a:r>
                <a:rPr lang="en-IN" sz="1400">
                  <a:solidFill>
                    <a:sysClr val="windowText" lastClr="000000"/>
                  </a:solidFill>
                </a:rPr>
                <a:t>Beyond this zone (higher Off-Peak VMs like ~60–70+ with moderate/high Peak),</a:t>
              </a:r>
              <a:br>
                <a:rPr lang="en-IN" sz="1400">
                  <a:solidFill>
                    <a:sysClr val="windowText" lastClr="000000"/>
                  </a:solidFill>
                </a:rPr>
              </a:br>
              <a:r>
                <a:rPr lang="en-IN" sz="1400" b="1">
                  <a:solidFill>
                    <a:sysClr val="windowText" lastClr="000000"/>
                  </a:solidFill>
                </a:rPr>
                <a:t>Net savings turn negative</a:t>
              </a:r>
              <a:r>
                <a:rPr lang="en-IN" sz="1400">
                  <a:solidFill>
                    <a:sysClr val="windowText" lastClr="000000"/>
                  </a:solidFill>
                </a:rPr>
                <a:t> (e.g., −$4K, −$9K, −$13K, −$17K).</a:t>
              </a:r>
            </a:p>
            <a:p>
              <a:endParaRPr lang="en-IN" sz="1400">
                <a:solidFill>
                  <a:sysClr val="windowText" lastClr="000000"/>
                </a:solidFill>
              </a:endParaRPr>
            </a:p>
            <a:p>
              <a:r>
                <a:rPr lang="en-IN" sz="1400">
                  <a:solidFill>
                    <a:srgbClr val="FF0000"/>
                  </a:solidFill>
                </a:rPr>
                <a:t>This means:</a:t>
              </a:r>
              <a:r>
                <a:rPr lang="en-IN" sz="1400" baseline="0">
                  <a:solidFill>
                    <a:srgbClr val="FF0000"/>
                  </a:solidFill>
                </a:rPr>
                <a:t> </a:t>
              </a:r>
              <a:r>
                <a:rPr lang="en-IN" sz="1400">
                  <a:solidFill>
                    <a:srgbClr val="FF0000"/>
                  </a:solidFill>
                </a:rPr>
                <a:t>If off-peak capacity remains too high relative to peak, auto-scaling </a:t>
              </a:r>
              <a:r>
                <a:rPr lang="en-IN" sz="1400" b="1">
                  <a:solidFill>
                    <a:srgbClr val="FF0000"/>
                  </a:solidFill>
                </a:rPr>
                <a:t>stops adding value</a:t>
              </a:r>
              <a:r>
                <a:rPr lang="en-IN" sz="1400">
                  <a:solidFill>
                    <a:srgbClr val="FF0000"/>
                  </a:solidFill>
                </a:rPr>
                <a:t> and can even </a:t>
              </a:r>
              <a:r>
                <a:rPr lang="en-IN" sz="1400" b="1">
                  <a:solidFill>
                    <a:srgbClr val="FF0000"/>
                  </a:solidFill>
                </a:rPr>
                <a:t>destroy value</a:t>
              </a:r>
              <a:r>
                <a:rPr lang="en-IN" sz="1400">
                  <a:solidFill>
                    <a:srgbClr val="FF0000"/>
                  </a:solidFill>
                </a:rPr>
                <a:t> compared to a simple right-sized always-on setup.</a:t>
              </a:r>
            </a:p>
            <a:p>
              <a:br>
                <a:rPr lang="en-IN" sz="1400">
                  <a:solidFill>
                    <a:sysClr val="windowText" lastClr="000000"/>
                  </a:solidFill>
                </a:rPr>
              </a:br>
              <a:r>
                <a:rPr lang="en-IN" sz="1400" b="1">
                  <a:solidFill>
                    <a:sysClr val="windowText" lastClr="000000"/>
                  </a:solidFill>
                </a:rPr>
                <a:t>3. Which strategy delivers the highest financial value over a multi-year horizon?</a:t>
              </a:r>
            </a:p>
            <a:p>
              <a:endParaRPr lang="en-IN" sz="1400" b="1">
                <a:solidFill>
                  <a:sysClr val="windowText" lastClr="000000"/>
                </a:solidFill>
              </a:endParaRPr>
            </a:p>
            <a:p>
              <a:r>
                <a:rPr lang="en-IN" sz="1400" b="1">
                  <a:solidFill>
                    <a:sysClr val="windowText" lastClr="000000"/>
                  </a:solidFill>
                </a:rPr>
                <a:t>Right-Sizing + Auto-Scaling (when off-peak reduction is meaningful)</a:t>
              </a:r>
            </a:p>
            <a:p>
              <a:r>
                <a:rPr lang="en-IN" sz="1400" b="1">
                  <a:solidFill>
                    <a:sysClr val="windowText" lastClr="000000"/>
                  </a:solidFill>
                </a:rPr>
                <a:t>Best annual savings:</a:t>
              </a:r>
              <a:r>
                <a:rPr lang="en-IN" sz="1400">
                  <a:solidFill>
                    <a:sysClr val="windowText" lastClr="000000"/>
                  </a:solidFill>
                </a:rPr>
                <a:t> up to </a:t>
              </a:r>
              <a:r>
                <a:rPr lang="en-IN" sz="1400" b="1">
                  <a:solidFill>
                    <a:sysClr val="windowText" lastClr="000000"/>
                  </a:solidFill>
                </a:rPr>
                <a:t>~$28.8K</a:t>
              </a:r>
              <a:endParaRPr lang="en-IN" sz="1400">
                <a:solidFill>
                  <a:sysClr val="windowText" lastClr="000000"/>
                </a:solidFill>
              </a:endParaRPr>
            </a:p>
            <a:p>
              <a:r>
                <a:rPr lang="en-IN" sz="1400">
                  <a:solidFill>
                    <a:sysClr val="windowText" lastClr="000000"/>
                  </a:solidFill>
                </a:rPr>
                <a:t>Over 3 years (ignoring discounting for simplicity): </a:t>
              </a:r>
              <a:r>
                <a:rPr lang="en-IN" sz="1400" b="1">
                  <a:solidFill>
                    <a:sysClr val="windowText" lastClr="000000"/>
                  </a:solidFill>
                </a:rPr>
                <a:t>~$85K+</a:t>
              </a:r>
              <a:endParaRPr lang="en-IN" sz="1400">
                <a:solidFill>
                  <a:sysClr val="windowText" lastClr="000000"/>
                </a:solidFill>
              </a:endParaRPr>
            </a:p>
            <a:p>
              <a:r>
                <a:rPr lang="en-IN" sz="1400">
                  <a:solidFill>
                    <a:sysClr val="windowText" lastClr="000000"/>
                  </a:solidFill>
                </a:rPr>
                <a:t>Highest NPV among all strategies in your model.</a:t>
              </a:r>
            </a:p>
            <a:p>
              <a:endParaRPr lang="en-IN" sz="1400">
                <a:solidFill>
                  <a:sysClr val="windowText" lastClr="000000"/>
                </a:solidFill>
              </a:endParaRPr>
            </a:p>
            <a:p>
              <a:r>
                <a:rPr lang="en-IN" sz="1400" b="1">
                  <a:solidFill>
                    <a:sysClr val="windowText" lastClr="000000"/>
                  </a:solidFill>
                </a:rPr>
                <a:t>🥈 Right-Sizing Only</a:t>
              </a:r>
            </a:p>
            <a:p>
              <a:r>
                <a:rPr lang="en-IN" sz="1400" b="1">
                  <a:solidFill>
                    <a:sysClr val="windowText" lastClr="000000"/>
                  </a:solidFill>
                </a:rPr>
                <a:t>Stable savings:</a:t>
              </a:r>
              <a:r>
                <a:rPr lang="en-IN" sz="1400">
                  <a:solidFill>
                    <a:sysClr val="windowText" lastClr="000000"/>
                  </a:solidFill>
                </a:rPr>
                <a:t> </a:t>
              </a:r>
              <a:r>
                <a:rPr lang="en-IN" sz="1400" b="1">
                  <a:solidFill>
                    <a:sysClr val="windowText" lastClr="000000"/>
                  </a:solidFill>
                </a:rPr>
                <a:t>$13.8K/year (</a:t>
              </a:r>
              <a:r>
                <a:rPr lang="en-IN" sz="1400">
                  <a:solidFill>
                    <a:sysClr val="windowText" lastClr="000000"/>
                  </a:solidFill>
                </a:rPr>
                <a:t>Always positive, low risk)</a:t>
              </a:r>
            </a:p>
            <a:p>
              <a:r>
                <a:rPr lang="en-IN" sz="1400" b="1">
                  <a:solidFill>
                    <a:sysClr val="windowText" lastClr="000000"/>
                  </a:solidFill>
                </a:rPr>
                <a:t>❌ Auto-Scaling without sufficient downscaling</a:t>
              </a:r>
            </a:p>
            <a:p>
              <a:r>
                <a:rPr lang="en-IN" sz="1400">
                  <a:solidFill>
                    <a:sysClr val="windowText" lastClr="000000"/>
                  </a:solidFill>
                </a:rPr>
                <a:t>Can fall into </a:t>
              </a:r>
              <a:r>
                <a:rPr lang="en-IN" sz="1400" b="1">
                  <a:solidFill>
                    <a:sysClr val="windowText" lastClr="000000"/>
                  </a:solidFill>
                </a:rPr>
                <a:t>negative savings</a:t>
              </a:r>
              <a:r>
                <a:rPr lang="en-IN" sz="1400">
                  <a:solidFill>
                    <a:sysClr val="windowText" lastClr="000000"/>
                  </a:solidFill>
                </a:rPr>
                <a:t> when off-peak demand is high.</a:t>
              </a:r>
            </a:p>
            <a:p>
              <a:r>
                <a:rPr lang="en-IN" sz="1400">
                  <a:solidFill>
                    <a:sysClr val="windowText" lastClr="000000"/>
                  </a:solidFill>
                </a:rPr>
                <a:t>Financially inferior to right-sizing alone in those zones.</a:t>
              </a:r>
            </a:p>
            <a:p>
              <a:r>
                <a:rPr lang="en-IN" sz="1400" b="1">
                  <a:solidFill>
                    <a:sysClr val="windowText" lastClr="000000"/>
                  </a:solidFill>
                </a:rPr>
                <a:t>Interpretation: </a:t>
              </a:r>
              <a:r>
                <a:rPr lang="en-IN" sz="1400">
                  <a:solidFill>
                    <a:sysClr val="windowText" lastClr="000000"/>
                  </a:solidFill>
                </a:rPr>
                <a:t>The combined strategy delivers the highest value, but only when there is strong confidence that off-peak demand can be materially reduced. Otherwise, right-sizing alone is the safer choice.</a:t>
              </a:r>
            </a:p>
            <a:p>
              <a:br>
                <a:rPr lang="en-IN" sz="1400">
                  <a:solidFill>
                    <a:sysClr val="windowText" lastClr="000000"/>
                  </a:solidFill>
                </a:rPr>
              </a:br>
              <a:endParaRPr lang="en-IN" sz="1400">
                <a:solidFill>
                  <a:sysClr val="windowText" lastClr="000000"/>
                </a:solidFill>
              </a:endParaRPr>
            </a:p>
            <a:p>
              <a:r>
                <a:rPr lang="en-IN" sz="1400" b="1">
                  <a:solidFill>
                    <a:sysClr val="windowText" lastClr="000000"/>
                  </a:solidFill>
                </a:rPr>
                <a:t>🏁 Final Executive Conclusion (Updated)</a:t>
              </a:r>
            </a:p>
            <a:p>
              <a:r>
                <a:rPr lang="en-IN" sz="1400">
                  <a:solidFill>
                    <a:sysClr val="windowText" lastClr="000000"/>
                  </a:solidFill>
                </a:rPr>
                <a:t>This analysis shows that right-sizing alone can reduce compute costs by ~33%, delivering reliable baseline savings of about $13.8K per year.</a:t>
              </a:r>
            </a:p>
            <a:p>
              <a:r>
                <a:rPr lang="en-IN" sz="1400">
                  <a:solidFill>
                    <a:sysClr val="windowText" lastClr="000000"/>
                  </a:solidFill>
                </a:rPr>
                <a:t>When combined with effective auto-scaling that significantly lowers off-peak capacity, total savings can increase to nearly $28.8K per year, representing over 65–70% reduction versus a fixed baseline deployment.</a:t>
              </a:r>
            </a:p>
            <a:p>
              <a:r>
                <a:rPr lang="en-IN" sz="1400">
                  <a:solidFill>
                    <a:sysClr val="windowText" lastClr="000000"/>
                  </a:solidFill>
                </a:rPr>
                <a:t>However, the Net Savings heatmap and break-even contour reveal that auto-scaling is sensitive to workload behavior. If off-peak utilization remains high, the strategy can quickly approach break-even or even become value-negative.</a:t>
              </a:r>
            </a:p>
            <a:p>
              <a:r>
                <a:rPr lang="en-IN" sz="1400">
                  <a:solidFill>
                    <a:sysClr val="windowText" lastClr="000000"/>
                  </a:solidFill>
                </a:rPr>
                <a:t>Therefore, the highest financial value over a multi-year horizon is achieved through </a:t>
              </a:r>
              <a:r>
                <a:rPr lang="en-IN" sz="1400" b="1">
                  <a:solidFill>
                    <a:sysClr val="windowText" lastClr="000000"/>
                  </a:solidFill>
                </a:rPr>
                <a:t>right-sizing plus disciplined auto-scaling</a:t>
              </a:r>
              <a:r>
                <a:rPr lang="en-IN" sz="1400">
                  <a:solidFill>
                    <a:sysClr val="windowText" lastClr="000000"/>
                  </a:solidFill>
                </a:rPr>
                <a:t>, applied only when workload patterns clearly support deep off-peak reduction. In uncertain scenarios, right-sizing alone remains the most robust optimization choice.</a:t>
              </a:r>
            </a:p>
            <a:p>
              <a:br>
                <a:rPr lang="en-IN" sz="1400">
                  <a:solidFill>
                    <a:sysClr val="windowText" lastClr="000000"/>
                  </a:solidFill>
                </a:rPr>
              </a:br>
              <a:endParaRPr lang="en-IN" sz="1400">
                <a:solidFill>
                  <a:sysClr val="windowText" lastClr="000000"/>
                </a:solidFill>
              </a:endParaRPr>
            </a:p>
            <a:p>
              <a:r>
                <a:rPr lang="en-IN" sz="1400" b="1">
                  <a:solidFill>
                    <a:sysClr val="windowText" lastClr="000000"/>
                  </a:solidFill>
                </a:rPr>
                <a:t>Final Summarized Answers</a:t>
              </a:r>
            </a:p>
            <a:p>
              <a:endParaRPr lang="en-IN" sz="1400" b="1">
                <a:solidFill>
                  <a:sysClr val="windowText" lastClr="000000"/>
                </a:solidFill>
              </a:endParaRPr>
            </a:p>
            <a:p>
              <a:r>
                <a:rPr lang="en-IN" sz="1400" b="1">
                  <a:solidFill>
                    <a:sysClr val="windowText" lastClr="000000"/>
                  </a:solidFill>
                </a:rPr>
                <a:t>Right-sizing alone saves:</a:t>
              </a:r>
              <a:r>
                <a:rPr lang="en-IN" sz="1400">
                  <a:solidFill>
                    <a:sysClr val="windowText" lastClr="000000"/>
                  </a:solidFill>
                </a:rPr>
                <a:t> </a:t>
              </a:r>
              <a:r>
                <a:rPr lang="en-IN" sz="1400" b="1">
                  <a:solidFill>
                    <a:sysClr val="windowText" lastClr="000000"/>
                  </a:solidFill>
                </a:rPr>
                <a:t>~$13.8K/year (~33%)</a:t>
              </a:r>
            </a:p>
            <a:p>
              <a:endParaRPr lang="en-IN" sz="1400">
                <a:solidFill>
                  <a:sysClr val="windowText" lastClr="000000"/>
                </a:solidFill>
              </a:endParaRPr>
            </a:p>
            <a:p>
              <a:r>
                <a:rPr lang="en-IN" sz="1400" b="1">
                  <a:solidFill>
                    <a:sysClr val="windowText" lastClr="000000"/>
                  </a:solidFill>
                </a:rPr>
                <a:t>Additional savings from auto-scaling:</a:t>
              </a:r>
              <a:r>
                <a:rPr lang="en-IN" sz="1400">
                  <a:solidFill>
                    <a:sysClr val="windowText" lastClr="000000"/>
                  </a:solidFill>
                </a:rPr>
                <a:t> up to </a:t>
              </a:r>
              <a:r>
                <a:rPr lang="en-IN" sz="1400" b="1">
                  <a:solidFill>
                    <a:sysClr val="windowText" lastClr="000000"/>
                  </a:solidFill>
                </a:rPr>
                <a:t>~$15K/year</a:t>
              </a:r>
            </a:p>
            <a:p>
              <a:endParaRPr lang="en-IN" sz="1400">
                <a:solidFill>
                  <a:sysClr val="windowText" lastClr="000000"/>
                </a:solidFill>
              </a:endParaRPr>
            </a:p>
            <a:p>
              <a:r>
                <a:rPr lang="en-IN" sz="1400" b="1">
                  <a:solidFill>
                    <a:sysClr val="windowText" lastClr="000000"/>
                  </a:solidFill>
                </a:rPr>
                <a:t>Best strategy over multiple years: Right-Sizing + Auto-Scaling</a:t>
              </a:r>
              <a:r>
                <a:rPr lang="en-IN" sz="1400">
                  <a:solidFill>
                    <a:sysClr val="windowText" lastClr="000000"/>
                  </a:solidFill>
                </a:rPr>
                <a:t>, </a:t>
              </a:r>
              <a:r>
                <a:rPr lang="en-IN" sz="1400" i="1">
                  <a:solidFill>
                    <a:sysClr val="windowText" lastClr="000000"/>
                  </a:solidFill>
                </a:rPr>
                <a:t>when off-peak VMs can be cut to ~50–60% (or lower) of peak</a:t>
              </a:r>
              <a:r>
                <a:rPr lang="en-IN" sz="1400">
                  <a:solidFill>
                    <a:sysClr val="windowText" lastClr="000000"/>
                  </a:solidFill>
                </a:rPr>
                <a:t>; otherwise, </a:t>
              </a:r>
              <a:r>
                <a:rPr lang="en-IN" sz="1400" b="1">
                  <a:solidFill>
                    <a:sysClr val="windowText" lastClr="000000"/>
                  </a:solidFill>
                </a:rPr>
                <a:t>Right-Sizing only</a:t>
              </a:r>
              <a:r>
                <a:rPr lang="en-IN" sz="1400">
                  <a:solidFill>
                    <a:sysClr val="windowText" lastClr="000000"/>
                  </a:solidFill>
                </a:rPr>
                <a:t>.</a:t>
              </a:r>
            </a:p>
            <a:p>
              <a:endParaRPr lang="en-IN" sz="1400">
                <a:solidFill>
                  <a:sysClr val="windowText" lastClr="000000"/>
                </a:solidFill>
              </a:endParaRPr>
            </a:p>
          </xdr:txBody>
        </xdr:sp>
      </mc:Fallback>
    </mc:AlternateContent>
    <xdr:clientData/>
  </xdr:oneCellAnchor>
  <xdr:oneCellAnchor>
    <xdr:from>
      <xdr:col>20</xdr:col>
      <xdr:colOff>0</xdr:colOff>
      <xdr:row>4</xdr:row>
      <xdr:rowOff>0</xdr:rowOff>
    </xdr:from>
    <xdr:ext cx="5676900" cy="952500"/>
    <xdr:sp macro="" textlink="">
      <xdr:nvSpPr>
        <xdr:cNvPr id="15" name="TextBox 14">
          <a:extLst>
            <a:ext uri="{FF2B5EF4-FFF2-40B4-BE49-F238E27FC236}">
              <a16:creationId xmlns:a16="http://schemas.microsoft.com/office/drawing/2014/main" id="{D18B3CC2-07CE-4EEA-B2A6-C4667D816B35}"/>
            </a:ext>
          </a:extLst>
        </xdr:cNvPr>
        <xdr:cNvSpPr txBox="1"/>
      </xdr:nvSpPr>
      <xdr:spPr>
        <a:xfrm>
          <a:off x="14371320" y="777240"/>
          <a:ext cx="5676900" cy="9525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1"/>
            <a:t>Key formulas:</a:t>
          </a:r>
          <a:endParaRPr lang="en-IN" sz="1200"/>
        </a:p>
        <a:p>
          <a:pPr algn="l"/>
          <a:r>
            <a:rPr lang="en-IN" sz="1200"/>
            <a:t>Baseline = VMs * Annual Hours * PAYG Rate</a:t>
          </a:r>
        </a:p>
        <a:p>
          <a:pPr algn="l"/>
          <a:r>
            <a:rPr lang="en-IN" sz="1200"/>
            <a:t>Right-sized = VMs * Annual Hours * Right-sized Rate</a:t>
          </a:r>
        </a:p>
        <a:p>
          <a:pPr algn="l"/>
          <a:r>
            <a:rPr lang="en-IN" sz="1200"/>
            <a:t>Auto-scale =(Peak VMs * Peak hrs * days + Off-peak VMs * Off-peak hrs * days) * 12 * Rate</a:t>
          </a:r>
        </a:p>
        <a:p>
          <a:endParaRPr lang="en-IN" sz="1200"/>
        </a:p>
      </xdr:txBody>
    </xdr:sp>
    <xdr:clientData/>
  </xdr:oneCellAnchor>
  <xdr:oneCellAnchor>
    <xdr:from>
      <xdr:col>2</xdr:col>
      <xdr:colOff>121920</xdr:colOff>
      <xdr:row>37</xdr:row>
      <xdr:rowOff>335280</xdr:rowOff>
    </xdr:from>
    <xdr:ext cx="739140" cy="548640"/>
    <xdr:sp macro="" textlink="">
      <xdr:nvSpPr>
        <xdr:cNvPr id="17" name="TextBox 16">
          <a:extLst>
            <a:ext uri="{FF2B5EF4-FFF2-40B4-BE49-F238E27FC236}">
              <a16:creationId xmlns:a16="http://schemas.microsoft.com/office/drawing/2014/main" id="{ED5468D6-EBCE-4FC2-909E-AA9815557614}"/>
            </a:ext>
          </a:extLst>
        </xdr:cNvPr>
        <xdr:cNvSpPr txBox="1"/>
      </xdr:nvSpPr>
      <xdr:spPr>
        <a:xfrm>
          <a:off x="2065020" y="7406640"/>
          <a:ext cx="739140" cy="54864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b="1"/>
            <a:t>Column cell for Data table</a:t>
          </a:r>
        </a:p>
      </xdr:txBody>
    </xdr:sp>
    <xdr:clientData/>
  </xdr:oneCellAnchor>
  <xdr:oneCellAnchor>
    <xdr:from>
      <xdr:col>2</xdr:col>
      <xdr:colOff>137160</xdr:colOff>
      <xdr:row>39</xdr:row>
      <xdr:rowOff>152400</xdr:rowOff>
    </xdr:from>
    <xdr:ext cx="739140" cy="548640"/>
    <xdr:sp macro="" textlink="">
      <xdr:nvSpPr>
        <xdr:cNvPr id="18" name="TextBox 17">
          <a:extLst>
            <a:ext uri="{FF2B5EF4-FFF2-40B4-BE49-F238E27FC236}">
              <a16:creationId xmlns:a16="http://schemas.microsoft.com/office/drawing/2014/main" id="{101F8562-CB1E-4E5D-82D6-8F71BBD9D74E}"/>
            </a:ext>
          </a:extLst>
        </xdr:cNvPr>
        <xdr:cNvSpPr txBox="1"/>
      </xdr:nvSpPr>
      <xdr:spPr>
        <a:xfrm>
          <a:off x="2080260" y="8016240"/>
          <a:ext cx="739140" cy="54864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b="1"/>
            <a:t>Row cell for Data table</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xdr:row>
      <xdr:rowOff>175260</xdr:rowOff>
    </xdr:from>
    <xdr:ext cx="7434599" cy="3098284"/>
    <xdr:sp macro="" textlink="">
      <xdr:nvSpPr>
        <xdr:cNvPr id="2" name="TextBox 1">
          <a:extLst>
            <a:ext uri="{FF2B5EF4-FFF2-40B4-BE49-F238E27FC236}">
              <a16:creationId xmlns:a16="http://schemas.microsoft.com/office/drawing/2014/main" id="{CD73AB89-15EB-68FC-C56A-91A0295824F6}"/>
            </a:ext>
          </a:extLst>
        </xdr:cNvPr>
        <xdr:cNvSpPr txBox="1"/>
      </xdr:nvSpPr>
      <xdr:spPr>
        <a:xfrm>
          <a:off x="0" y="541020"/>
          <a:ext cx="7434599" cy="3098284"/>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IN" sz="1200" b="1"/>
            <a:t>Case 5 – Problem Statement</a:t>
          </a:r>
        </a:p>
        <a:p>
          <a:pPr algn="l"/>
          <a:r>
            <a:rPr lang="en-IN" sz="1200"/>
            <a:t>A business-critical application requires a disaster recovery (DR) strategy to ensure availability during regional outages.</a:t>
          </a:r>
        </a:p>
        <a:p>
          <a:pPr algn="l"/>
          <a:r>
            <a:rPr lang="en-IN" sz="1200"/>
            <a:t>The cloud architect must evaluate two DR options:</a:t>
          </a:r>
        </a:p>
        <a:p>
          <a:pPr algn="l"/>
          <a:r>
            <a:rPr lang="en-IN" sz="1200" b="1"/>
            <a:t>Active–Passive DR</a:t>
          </a:r>
          <a:r>
            <a:rPr lang="en-IN" sz="1200"/>
            <a:t> (lower cost, higher recovery time)</a:t>
          </a:r>
        </a:p>
        <a:p>
          <a:pPr algn="l"/>
          <a:r>
            <a:rPr lang="en-IN" sz="1200" b="1"/>
            <a:t>Active–Active DR</a:t>
          </a:r>
          <a:r>
            <a:rPr lang="en-IN" sz="1200"/>
            <a:t> (higher cost, near-zero downtime)</a:t>
          </a:r>
        </a:p>
        <a:p>
          <a:pPr algn="l"/>
          <a:endParaRPr lang="en-IN" sz="1200"/>
        </a:p>
        <a:p>
          <a:pPr algn="l"/>
          <a:r>
            <a:rPr lang="en-IN" sz="1200"/>
            <a:t>The objective is to build a financial model that compares the </a:t>
          </a:r>
          <a:r>
            <a:rPr lang="en-IN" sz="1200" b="1"/>
            <a:t>total expected annual cost</a:t>
          </a:r>
          <a:r>
            <a:rPr lang="en-IN" sz="1200"/>
            <a:t> of each strategy by combining:</a:t>
          </a:r>
        </a:p>
        <a:p>
          <a:pPr algn="l"/>
          <a:endParaRPr lang="en-IN" sz="1200"/>
        </a:p>
        <a:p>
          <a:pPr algn="l"/>
          <a:r>
            <a:rPr lang="en-IN" sz="1200" b="1"/>
            <a:t>Infrastructure cost</a:t>
          </a:r>
        </a:p>
        <a:p>
          <a:pPr algn="l"/>
          <a:r>
            <a:rPr lang="en-IN" sz="1200" b="1"/>
            <a:t>Expected downtime loss (probability × impact)</a:t>
          </a:r>
        </a:p>
        <a:p>
          <a:pPr algn="l"/>
          <a:endParaRPr lang="en-IN" sz="1200"/>
        </a:p>
        <a:p>
          <a:pPr algn="l"/>
          <a:r>
            <a:rPr lang="en-IN" sz="1200" b="1"/>
            <a:t>The model will quantify:</a:t>
          </a:r>
        </a:p>
        <a:p>
          <a:pPr algn="l"/>
          <a:r>
            <a:rPr lang="en-IN" sz="1200"/>
            <a:t>The cost of availability</a:t>
          </a:r>
        </a:p>
        <a:p>
          <a:pPr algn="l"/>
          <a:r>
            <a:rPr lang="en-IN" sz="1200"/>
            <a:t>The financial value of risk reduction</a:t>
          </a:r>
        </a:p>
        <a:p>
          <a:pPr algn="l"/>
          <a:r>
            <a:rPr lang="en-IN" sz="1200"/>
            <a:t>Which DR strategy delivers the best risk-adjusted outcome over a multi-year horizon</a:t>
          </a:r>
        </a:p>
        <a:p>
          <a:pPr algn="l"/>
          <a:endParaRPr lang="en-IN" sz="1200"/>
        </a:p>
      </xdr:txBody>
    </xdr:sp>
    <xdr:clientData/>
  </xdr:oneCellAnchor>
  <xdr:oneCellAnchor>
    <xdr:from>
      <xdr:col>5</xdr:col>
      <xdr:colOff>601980</xdr:colOff>
      <xdr:row>3</xdr:row>
      <xdr:rowOff>15240</xdr:rowOff>
    </xdr:from>
    <xdr:ext cx="2702663" cy="3078480"/>
    <xdr:sp macro="" textlink="">
      <xdr:nvSpPr>
        <xdr:cNvPr id="3" name="TextBox 2">
          <a:extLst>
            <a:ext uri="{FF2B5EF4-FFF2-40B4-BE49-F238E27FC236}">
              <a16:creationId xmlns:a16="http://schemas.microsoft.com/office/drawing/2014/main" id="{F4F2CB95-BE21-A4A5-289A-62D720589935}"/>
            </a:ext>
          </a:extLst>
        </xdr:cNvPr>
        <xdr:cNvSpPr txBox="1"/>
      </xdr:nvSpPr>
      <xdr:spPr>
        <a:xfrm>
          <a:off x="7688580" y="563880"/>
          <a:ext cx="2702663" cy="307848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1"/>
            <a:t>Inputs</a:t>
          </a:r>
          <a:endParaRPr lang="en-IN" b="1"/>
        </a:p>
        <a:p>
          <a:endParaRPr lang="en-IN" sz="1100"/>
        </a:p>
        <a:p>
          <a:r>
            <a:rPr lang="en-IN" sz="1100" b="1"/>
            <a:t>Inputs</a:t>
          </a:r>
        </a:p>
        <a:p>
          <a:r>
            <a:rPr lang="en-IN" sz="1100"/>
            <a:t>------------------------------------------------</a:t>
          </a:r>
        </a:p>
        <a:p>
          <a:r>
            <a:rPr lang="en-IN" sz="1100"/>
            <a:t>Primary Region VM Count                 40</a:t>
          </a:r>
        </a:p>
        <a:p>
          <a:r>
            <a:rPr lang="en-IN" sz="1100"/>
            <a:t>DR Region VM Count (Passive)            10</a:t>
          </a:r>
        </a:p>
        <a:p>
          <a:r>
            <a:rPr lang="en-IN" sz="1100"/>
            <a:t>DR Region VM Count (Active-Active)      40</a:t>
          </a:r>
        </a:p>
        <a:p>
          <a:endParaRPr lang="en-IN" sz="1100"/>
        </a:p>
        <a:p>
          <a:r>
            <a:rPr lang="en-IN" sz="1100"/>
            <a:t>VM Rate ($/VM/hr)                       0.12</a:t>
          </a:r>
        </a:p>
        <a:p>
          <a:r>
            <a:rPr lang="en-IN" sz="1100"/>
            <a:t>Hours per Month                         720</a:t>
          </a:r>
        </a:p>
        <a:p>
          <a:endParaRPr lang="en-IN" sz="1100"/>
        </a:p>
        <a:p>
          <a:r>
            <a:rPr lang="en-IN" sz="1100"/>
            <a:t>Estimated Downtime Cost ($/hour)        20000</a:t>
          </a:r>
        </a:p>
        <a:p>
          <a:r>
            <a:rPr lang="en-IN" sz="1100"/>
            <a:t>Annual Probability of Major Outage (%)  5%</a:t>
          </a:r>
        </a:p>
        <a:p>
          <a:endParaRPr lang="en-IN" sz="1100"/>
        </a:p>
        <a:p>
          <a:r>
            <a:rPr lang="en-IN" sz="1100"/>
            <a:t>RTO – Active-Passive (hours)            4</a:t>
          </a:r>
        </a:p>
        <a:p>
          <a:r>
            <a:rPr lang="en-IN" sz="1100"/>
            <a:t>RTO – Active-Active (hours)             0.5</a:t>
          </a:r>
        </a:p>
        <a:p>
          <a:endParaRPr lang="en-IN" sz="1100"/>
        </a:p>
        <a:p>
          <a:r>
            <a:rPr lang="en-IN" sz="1100"/>
            <a:t>Discount Rate                           10%</a:t>
          </a:r>
        </a:p>
        <a:p>
          <a:r>
            <a:rPr lang="en-IN" sz="1100"/>
            <a:t>Analysis Period (Years)                 3</a:t>
          </a:r>
        </a:p>
        <a:p>
          <a:endParaRPr lang="en-IN" sz="1100"/>
        </a:p>
      </xdr:txBody>
    </xdr:sp>
    <xdr:clientData/>
  </xdr:oneCellAnchor>
  <xdr:oneCellAnchor>
    <xdr:from>
      <xdr:col>8</xdr:col>
      <xdr:colOff>1325880</xdr:colOff>
      <xdr:row>3</xdr:row>
      <xdr:rowOff>15240</xdr:rowOff>
    </xdr:from>
    <xdr:ext cx="2938946" cy="2503506"/>
    <xdr:sp macro="" textlink="">
      <xdr:nvSpPr>
        <xdr:cNvPr id="4" name="TextBox 3">
          <a:extLst>
            <a:ext uri="{FF2B5EF4-FFF2-40B4-BE49-F238E27FC236}">
              <a16:creationId xmlns:a16="http://schemas.microsoft.com/office/drawing/2014/main" id="{C7436A92-D094-D5CD-6884-C3D1B978D2D4}"/>
            </a:ext>
          </a:extLst>
        </xdr:cNvPr>
        <xdr:cNvSpPr txBox="1"/>
      </xdr:nvSpPr>
      <xdr:spPr>
        <a:xfrm>
          <a:off x="8061960" y="647700"/>
          <a:ext cx="2938946" cy="2503506"/>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t>Derived Costs</a:t>
          </a:r>
        </a:p>
        <a:p>
          <a:endParaRPr lang="en-IN" sz="1100"/>
        </a:p>
        <a:p>
          <a:r>
            <a:rPr lang="en-IN" sz="1100" b="1"/>
            <a:t>Derived</a:t>
          </a:r>
        </a:p>
        <a:p>
          <a:r>
            <a:rPr lang="en-IN" sz="1100"/>
            <a:t>------------------------------------------------</a:t>
          </a:r>
        </a:p>
        <a:p>
          <a:r>
            <a:rPr lang="en-IN" sz="1100"/>
            <a:t>Annual Primary Region Cost</a:t>
          </a:r>
        </a:p>
        <a:p>
          <a:r>
            <a:rPr lang="en-IN" sz="1100"/>
            <a:t>Annual DR Cost – Active-Passive</a:t>
          </a:r>
        </a:p>
        <a:p>
          <a:r>
            <a:rPr lang="en-IN" sz="1100"/>
            <a:t>Annual DR Cost – Active-Active</a:t>
          </a:r>
        </a:p>
        <a:p>
          <a:endParaRPr lang="en-IN" sz="1100"/>
        </a:p>
        <a:p>
          <a:r>
            <a:rPr lang="en-IN" sz="1100"/>
            <a:t>Expected Annual Downtime Loss – Active-Passive</a:t>
          </a:r>
        </a:p>
        <a:p>
          <a:r>
            <a:rPr lang="en-IN" sz="1100"/>
            <a:t>Expected Annual Downtime Loss – Active-Active</a:t>
          </a:r>
        </a:p>
        <a:p>
          <a:endParaRPr lang="en-IN" sz="1100"/>
        </a:p>
        <a:p>
          <a:r>
            <a:rPr lang="en-IN" sz="1100"/>
            <a:t>Total Expected Annual Cost – Active-Passive</a:t>
          </a:r>
        </a:p>
        <a:p>
          <a:r>
            <a:rPr lang="en-IN" sz="1100"/>
            <a:t>Total Expected Annual Cost – Active-Active</a:t>
          </a:r>
        </a:p>
        <a:p>
          <a:endParaRPr lang="en-IN" sz="1100"/>
        </a:p>
      </xdr:txBody>
    </xdr:sp>
    <xdr:clientData/>
  </xdr:oneCellAnchor>
  <xdr:twoCellAnchor>
    <xdr:from>
      <xdr:col>0</xdr:col>
      <xdr:colOff>358141</xdr:colOff>
      <xdr:row>21</xdr:row>
      <xdr:rowOff>121921</xdr:rowOff>
    </xdr:from>
    <xdr:to>
      <xdr:col>0</xdr:col>
      <xdr:colOff>403860</xdr:colOff>
      <xdr:row>21</xdr:row>
      <xdr:rowOff>167640</xdr:rowOff>
    </xdr:to>
    <xdr:sp macro="" textlink="">
      <xdr:nvSpPr>
        <xdr:cNvPr id="5" name="TextBox 4">
          <a:extLst>
            <a:ext uri="{FF2B5EF4-FFF2-40B4-BE49-F238E27FC236}">
              <a16:creationId xmlns:a16="http://schemas.microsoft.com/office/drawing/2014/main" id="{CAA8EC01-9CC8-DFD4-468A-3FAA3991504D}"/>
            </a:ext>
          </a:extLst>
        </xdr:cNvPr>
        <xdr:cNvSpPr txBox="1"/>
      </xdr:nvSpPr>
      <xdr:spPr>
        <a:xfrm>
          <a:off x="358141" y="3962401"/>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0</xdr:col>
      <xdr:colOff>0</xdr:colOff>
      <xdr:row>20</xdr:row>
      <xdr:rowOff>175260</xdr:rowOff>
    </xdr:from>
    <xdr:ext cx="4366260" cy="2156460"/>
    <xdr:sp macro="" textlink="">
      <xdr:nvSpPr>
        <xdr:cNvPr id="6" name="TextBox 5">
          <a:extLst>
            <a:ext uri="{FF2B5EF4-FFF2-40B4-BE49-F238E27FC236}">
              <a16:creationId xmlns:a16="http://schemas.microsoft.com/office/drawing/2014/main" id="{66F566CD-FAA8-62D7-9EFB-4218E980BDC4}"/>
            </a:ext>
          </a:extLst>
        </xdr:cNvPr>
        <xdr:cNvSpPr txBox="1"/>
      </xdr:nvSpPr>
      <xdr:spPr>
        <a:xfrm>
          <a:off x="0" y="3832860"/>
          <a:ext cx="4366260" cy="215646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b="1"/>
            <a:t>🧮 Core formulas (clean and logical)</a:t>
          </a:r>
        </a:p>
        <a:p>
          <a:r>
            <a:rPr lang="en-IN" b="1"/>
            <a:t>Infrastructure cost</a:t>
          </a:r>
        </a:p>
        <a:p>
          <a:pPr rtl="0"/>
          <a:r>
            <a:rPr lang="en-IN" sz="1100">
              <a:solidFill>
                <a:schemeClr val="tx1"/>
              </a:solidFill>
              <a:latin typeface="+mn-lt"/>
              <a:ea typeface="+mn-ea"/>
              <a:cs typeface="+mn-cs"/>
            </a:rPr>
            <a:t>Annual Cost = VM Count × Rate × Hours × 12</a:t>
          </a:r>
        </a:p>
        <a:p>
          <a:r>
            <a:rPr lang="en-IN" b="1"/>
            <a:t>Expected downtime loss</a:t>
          </a:r>
        </a:p>
        <a:p>
          <a:pPr rtl="0"/>
          <a:r>
            <a:rPr lang="en-IN" sz="1100">
              <a:solidFill>
                <a:schemeClr val="tx1"/>
              </a:solidFill>
              <a:latin typeface="+mn-lt"/>
              <a:ea typeface="+mn-ea"/>
              <a:cs typeface="+mn-cs"/>
            </a:rPr>
            <a:t>Expected Loss =</a:t>
          </a:r>
        </a:p>
        <a:p>
          <a:pPr rtl="0"/>
          <a:r>
            <a:rPr lang="en-IN" sz="1100">
              <a:solidFill>
                <a:schemeClr val="tx1"/>
              </a:solidFill>
              <a:latin typeface="+mn-lt"/>
              <a:ea typeface="+mn-ea"/>
              <a:cs typeface="+mn-cs"/>
            </a:rPr>
            <a:t>Probability × RTO × Downtime Cost per Hour</a:t>
          </a:r>
        </a:p>
        <a:p>
          <a:r>
            <a:rPr lang="en-IN" b="1"/>
            <a:t>Total expected cost</a:t>
          </a:r>
        </a:p>
        <a:p>
          <a:pPr rtl="0"/>
          <a:r>
            <a:rPr lang="en-IN" sz="1100">
              <a:solidFill>
                <a:schemeClr val="tx1"/>
              </a:solidFill>
              <a:latin typeface="+mn-lt"/>
              <a:ea typeface="+mn-ea"/>
              <a:cs typeface="+mn-cs"/>
            </a:rPr>
            <a:t>Total Expected Cost =</a:t>
          </a:r>
        </a:p>
        <a:p>
          <a:pPr rtl="0"/>
          <a:r>
            <a:rPr lang="en-IN" sz="1100">
              <a:solidFill>
                <a:schemeClr val="tx1"/>
              </a:solidFill>
              <a:latin typeface="+mn-lt"/>
              <a:ea typeface="+mn-ea"/>
              <a:cs typeface="+mn-cs"/>
            </a:rPr>
            <a:t>Infra Cost + Expected Downtime Loss</a:t>
          </a:r>
        </a:p>
      </xdr:txBody>
    </xdr:sp>
    <xdr:clientData/>
  </xdr:oneCellAnchor>
  <xdr:oneCellAnchor>
    <xdr:from>
      <xdr:col>3</xdr:col>
      <xdr:colOff>91440</xdr:colOff>
      <xdr:row>21</xdr:row>
      <xdr:rowOff>0</xdr:rowOff>
    </xdr:from>
    <xdr:ext cx="2259080" cy="2159053"/>
    <xdr:sp macro="" textlink="">
      <xdr:nvSpPr>
        <xdr:cNvPr id="7" name="TextBox 6">
          <a:extLst>
            <a:ext uri="{FF2B5EF4-FFF2-40B4-BE49-F238E27FC236}">
              <a16:creationId xmlns:a16="http://schemas.microsoft.com/office/drawing/2014/main" id="{D61D1ECC-2DDB-D29E-622A-DC5C28ADF0EC}"/>
            </a:ext>
          </a:extLst>
        </xdr:cNvPr>
        <xdr:cNvSpPr txBox="1"/>
      </xdr:nvSpPr>
      <xdr:spPr>
        <a:xfrm>
          <a:off x="5013960" y="3840480"/>
          <a:ext cx="2259080" cy="2159053"/>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b="1"/>
            <a:t>3-Year NPV Comparison</a:t>
          </a:r>
        </a:p>
        <a:p>
          <a:pPr rtl="0"/>
          <a:r>
            <a:rPr lang="en-IN" sz="1100">
              <a:solidFill>
                <a:schemeClr val="tx1"/>
              </a:solidFill>
              <a:latin typeface="+mn-lt"/>
              <a:ea typeface="+mn-ea"/>
              <a:cs typeface="+mn-cs"/>
            </a:rPr>
            <a:t>Year          0        1        2        3</a:t>
          </a:r>
        </a:p>
        <a:p>
          <a:pPr rtl="0"/>
          <a:r>
            <a:rPr lang="en-IN" sz="1100">
              <a:solidFill>
                <a:schemeClr val="tx1"/>
              </a:solidFill>
              <a:latin typeface="+mn-lt"/>
              <a:ea typeface="+mn-ea"/>
              <a:cs typeface="+mn-cs"/>
            </a:rPr>
            <a:t>------------------------------------------------</a:t>
          </a:r>
        </a:p>
        <a:p>
          <a:pPr rtl="0"/>
          <a:r>
            <a:rPr lang="en-IN" sz="1100">
              <a:solidFill>
                <a:schemeClr val="tx1"/>
              </a:solidFill>
              <a:latin typeface="+mn-lt"/>
              <a:ea typeface="+mn-ea"/>
              <a:cs typeface="+mn-cs"/>
            </a:rPr>
            <a:t>Active-Passive Total Cost</a:t>
          </a:r>
        </a:p>
        <a:p>
          <a:pPr rtl="0"/>
          <a:r>
            <a:rPr lang="en-IN" sz="1100">
              <a:solidFill>
                <a:schemeClr val="tx1"/>
              </a:solidFill>
              <a:latin typeface="+mn-lt"/>
              <a:ea typeface="+mn-ea"/>
              <a:cs typeface="+mn-cs"/>
            </a:rPr>
            <a:t>Active-Active Total Cost</a:t>
          </a:r>
        </a:p>
        <a:p>
          <a:pPr rtl="0"/>
          <a:endParaRPr lang="en-IN" sz="1100">
            <a:solidFill>
              <a:schemeClr val="tx1"/>
            </a:solidFill>
            <a:latin typeface="+mn-lt"/>
            <a:ea typeface="+mn-ea"/>
            <a:cs typeface="+mn-cs"/>
          </a:endParaRPr>
        </a:p>
        <a:p>
          <a:pPr rtl="0"/>
          <a:r>
            <a:rPr lang="en-IN" sz="1100">
              <a:solidFill>
                <a:schemeClr val="tx1"/>
              </a:solidFill>
              <a:latin typeface="+mn-lt"/>
              <a:ea typeface="+mn-ea"/>
              <a:cs typeface="+mn-cs"/>
            </a:rPr>
            <a:t>Discount Factor</a:t>
          </a:r>
        </a:p>
        <a:p>
          <a:pPr rtl="0"/>
          <a:r>
            <a:rPr lang="en-IN" sz="1100">
              <a:solidFill>
                <a:schemeClr val="tx1"/>
              </a:solidFill>
              <a:latin typeface="+mn-lt"/>
              <a:ea typeface="+mn-ea"/>
              <a:cs typeface="+mn-cs"/>
            </a:rPr>
            <a:t>Present Value (each strategy)</a:t>
          </a:r>
        </a:p>
        <a:p>
          <a:pPr rtl="0"/>
          <a:endParaRPr lang="en-IN" sz="1100">
            <a:solidFill>
              <a:schemeClr val="tx1"/>
            </a:solidFill>
            <a:latin typeface="+mn-lt"/>
            <a:ea typeface="+mn-ea"/>
            <a:cs typeface="+mn-cs"/>
          </a:endParaRPr>
        </a:p>
        <a:p>
          <a:r>
            <a:rPr lang="en-IN" b="1"/>
            <a:t>Final rows:</a:t>
          </a:r>
        </a:p>
        <a:p>
          <a:pPr rtl="0"/>
          <a:r>
            <a:rPr lang="en-IN" sz="1100">
              <a:solidFill>
                <a:schemeClr val="tx1"/>
              </a:solidFill>
              <a:latin typeface="+mn-lt"/>
              <a:ea typeface="+mn-ea"/>
              <a:cs typeface="+mn-cs"/>
            </a:rPr>
            <a:t>NPV – Active-Passive</a:t>
          </a:r>
        </a:p>
        <a:p>
          <a:pPr rtl="0"/>
          <a:r>
            <a:rPr lang="en-IN" sz="1100">
              <a:solidFill>
                <a:schemeClr val="tx1"/>
              </a:solidFill>
              <a:latin typeface="+mn-lt"/>
              <a:ea typeface="+mn-ea"/>
              <a:cs typeface="+mn-cs"/>
            </a:rPr>
            <a:t>NPV – Active-Active</a:t>
          </a:r>
        </a:p>
      </xdr:txBody>
    </xdr:sp>
    <xdr:clientData/>
  </xdr:oneCellAnchor>
  <xdr:oneCellAnchor>
    <xdr:from>
      <xdr:col>8</xdr:col>
      <xdr:colOff>403860</xdr:colOff>
      <xdr:row>43</xdr:row>
      <xdr:rowOff>312420</xdr:rowOff>
    </xdr:from>
    <xdr:ext cx="13129871" cy="4601260"/>
    <xdr:sp macro="" textlink="">
      <xdr:nvSpPr>
        <xdr:cNvPr id="8" name="TextBox 7">
          <a:extLst>
            <a:ext uri="{FF2B5EF4-FFF2-40B4-BE49-F238E27FC236}">
              <a16:creationId xmlns:a16="http://schemas.microsoft.com/office/drawing/2014/main" id="{D08F300F-9E6D-C0A8-A382-0185E0ABE2AA}"/>
            </a:ext>
          </a:extLst>
        </xdr:cNvPr>
        <xdr:cNvSpPr txBox="1"/>
      </xdr:nvSpPr>
      <xdr:spPr>
        <a:xfrm>
          <a:off x="7139940" y="8625840"/>
          <a:ext cx="13129871" cy="460126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Final Interpretation – Case: DR Strategy Cost–Risk Optimization</a:t>
          </a:r>
        </a:p>
        <a:p>
          <a:endParaRPr lang="en-IN" sz="1200" b="1"/>
        </a:p>
        <a:p>
          <a:r>
            <a:rPr lang="en-IN" sz="1200"/>
            <a:t>This analysis evaluates two disaster recovery strategies—</a:t>
          </a:r>
          <a:r>
            <a:rPr lang="en-IN" sz="1200" b="1"/>
            <a:t>Active–Passive</a:t>
          </a:r>
          <a:r>
            <a:rPr lang="en-IN" sz="1200"/>
            <a:t> and </a:t>
          </a:r>
          <a:r>
            <a:rPr lang="en-IN" sz="1200" b="1"/>
            <a:t>Active–Active</a:t>
          </a:r>
          <a:r>
            <a:rPr lang="en-IN" sz="1200"/>
            <a:t>—by combining </a:t>
          </a:r>
          <a:r>
            <a:rPr lang="en-IN" sz="1200" b="1"/>
            <a:t>infrastructure costs</a:t>
          </a:r>
          <a:r>
            <a:rPr lang="en-IN" sz="1200"/>
            <a:t>, </a:t>
          </a:r>
          <a:r>
            <a:rPr lang="en-IN" sz="1200" b="1"/>
            <a:t>expected downtime losses</a:t>
          </a:r>
          <a:r>
            <a:rPr lang="en-IN" sz="1200"/>
            <a:t>, and </a:t>
          </a:r>
          <a:r>
            <a:rPr lang="en-IN" sz="1200" b="1"/>
            <a:t>time value of money (NPV)</a:t>
          </a:r>
          <a:r>
            <a:rPr lang="en-IN" sz="1200"/>
            <a:t> over a 3-year horizon.</a:t>
          </a:r>
        </a:p>
        <a:p>
          <a:r>
            <a:rPr lang="en-IN" sz="1200" b="1"/>
            <a:t>Key findings:</a:t>
          </a:r>
        </a:p>
        <a:p>
          <a:r>
            <a:rPr lang="en-IN" sz="1200" b="1"/>
            <a:t>Active–Active</a:t>
          </a:r>
          <a:r>
            <a:rPr lang="en-IN" sz="1200"/>
            <a:t> significantly reduces downtime impact (RTO of 0.5 hours vs 4 hours), lowering expected annual outage losses from </a:t>
          </a:r>
          <a:r>
            <a:rPr lang="en-IN" sz="1200" b="1"/>
            <a:t>$4,000 to $500</a:t>
          </a:r>
          <a:r>
            <a:rPr lang="en-IN" sz="1200"/>
            <a:t>.</a:t>
          </a:r>
        </a:p>
        <a:p>
          <a:r>
            <a:rPr lang="en-IN" sz="1200"/>
            <a:t>However, this resilience comes at a high infrastructure cost premium, doubling DR capacity.</a:t>
          </a:r>
        </a:p>
        <a:p>
          <a:endParaRPr lang="en-IN" sz="1200" b="1"/>
        </a:p>
        <a:p>
          <a:endParaRPr lang="en-IN" sz="1200" b="1"/>
        </a:p>
        <a:p>
          <a:r>
            <a:rPr lang="en-IN" sz="1200" b="1"/>
            <a:t>Financial comparison (3-year NPV):</a:t>
          </a:r>
        </a:p>
        <a:p>
          <a:r>
            <a:rPr lang="en-IN" sz="1200" b="1"/>
            <a:t>Active–Passive NPV:</a:t>
          </a:r>
          <a:r>
            <a:rPr lang="en-IN" sz="1200"/>
            <a:t> </a:t>
          </a:r>
          <a:r>
            <a:rPr lang="en-IN" sz="1200" b="1"/>
            <a:t>–$138,866</a:t>
          </a:r>
          <a:endParaRPr lang="en-IN" sz="1200"/>
        </a:p>
        <a:p>
          <a:r>
            <a:rPr lang="en-IN" sz="1200" b="1"/>
            <a:t>Active–Active NPV:</a:t>
          </a:r>
          <a:r>
            <a:rPr lang="en-IN" sz="1200"/>
            <a:t> </a:t>
          </a:r>
          <a:r>
            <a:rPr lang="en-IN" sz="1200" b="1"/>
            <a:t>–$207,513</a:t>
          </a:r>
        </a:p>
        <a:p>
          <a:endParaRPr lang="en-IN" sz="1200" b="1"/>
        </a:p>
        <a:p>
          <a:endParaRPr lang="en-IN" sz="1200"/>
        </a:p>
        <a:p>
          <a:r>
            <a:rPr lang="en-IN" sz="1200" b="1"/>
            <a:t>Conclusion:</a:t>
          </a:r>
        </a:p>
        <a:p>
          <a:endParaRPr lang="en-IN" sz="1200"/>
        </a:p>
        <a:p>
          <a:r>
            <a:rPr lang="en-IN" sz="1200"/>
            <a:t>While </a:t>
          </a:r>
          <a:r>
            <a:rPr lang="en-IN" sz="1200" b="1"/>
            <a:t>Active–Active</a:t>
          </a:r>
          <a:r>
            <a:rPr lang="en-IN" sz="1200"/>
            <a:t> provides superior availability and lower operational risk, </a:t>
          </a:r>
          <a:r>
            <a:rPr lang="en-IN" sz="1200" b="1"/>
            <a:t>Active–Passive delivers the lowest total cost of ownership</a:t>
          </a:r>
          <a:r>
            <a:rPr lang="en-IN" sz="1200"/>
            <a:t> under the assumed outage probability (5%) and downtime cost.</a:t>
          </a:r>
        </a:p>
        <a:p>
          <a:r>
            <a:rPr lang="en-IN" sz="1200" b="1"/>
            <a:t>Active–Passive is the financially optimal DR strategy</a:t>
          </a:r>
          <a:r>
            <a:rPr lang="en-IN" sz="1200"/>
            <a:t> unless:</a:t>
          </a:r>
        </a:p>
        <a:p>
          <a:r>
            <a:rPr lang="en-IN" sz="1200"/>
            <a:t>Downtime costs are substantially higher,</a:t>
          </a:r>
        </a:p>
        <a:p>
          <a:r>
            <a:rPr lang="en-IN" sz="1200"/>
            <a:t>Outage probability increases materially, or</a:t>
          </a:r>
        </a:p>
        <a:p>
          <a:r>
            <a:rPr lang="en-IN" sz="1200"/>
            <a:t>Regulatory or business-critical requirements mandate near-zero RTO.</a:t>
          </a:r>
        </a:p>
        <a:p>
          <a:endParaRPr lang="en-IN" sz="1200"/>
        </a:p>
        <a:p>
          <a:endParaRPr lang="en-IN" sz="1200"/>
        </a:p>
        <a:p>
          <a:r>
            <a:rPr lang="en-IN" sz="1200"/>
            <a:t>This case demonstrates that </a:t>
          </a:r>
          <a:r>
            <a:rPr lang="en-IN" sz="1200" b="1"/>
            <a:t>DR architecture decisions are not purely technical</a:t>
          </a:r>
          <a:r>
            <a:rPr lang="en-IN" sz="1200"/>
            <a:t>—they are </a:t>
          </a:r>
          <a:r>
            <a:rPr lang="en-IN" sz="1200" b="1"/>
            <a:t>risk-adjusted financial trade-offs</a:t>
          </a:r>
          <a:r>
            <a:rPr lang="en-IN" sz="1200"/>
            <a:t> that must balance resilience against cost efficiency.</a:t>
          </a:r>
        </a:p>
        <a:p>
          <a:endParaRPr lang="en-IN" sz="1200"/>
        </a:p>
      </xdr:txBody>
    </xdr:sp>
    <xdr:clientData/>
  </xdr:oneCellAnchor>
  <xdr:oneCellAnchor>
    <xdr:from>
      <xdr:col>3</xdr:col>
      <xdr:colOff>0</xdr:colOff>
      <xdr:row>35</xdr:row>
      <xdr:rowOff>164739</xdr:rowOff>
    </xdr:from>
    <xdr:ext cx="3337560" cy="530658"/>
    <xdr:sp macro="" textlink="">
      <xdr:nvSpPr>
        <xdr:cNvPr id="13" name="TextBox 12">
          <a:extLst>
            <a:ext uri="{FF2B5EF4-FFF2-40B4-BE49-F238E27FC236}">
              <a16:creationId xmlns:a16="http://schemas.microsoft.com/office/drawing/2014/main" id="{911DFC1F-7813-42C2-B1AF-6756C07AD50B}"/>
            </a:ext>
          </a:extLst>
        </xdr:cNvPr>
        <xdr:cNvSpPr txBox="1"/>
      </xdr:nvSpPr>
      <xdr:spPr>
        <a:xfrm>
          <a:off x="2788920" y="6649359"/>
          <a:ext cx="3337560" cy="530658"/>
        </a:xfrm>
        <a:prstGeom prst="rect">
          <a:avLst/>
        </a:prstGeom>
        <a:solidFill>
          <a:schemeClr val="accent3">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400" b="1">
              <a:solidFill>
                <a:schemeClr val="bg1"/>
              </a:solidFill>
            </a:rPr>
            <a:t>What-If Analysis: Downtime Cost Sensitivity</a:t>
          </a:r>
        </a:p>
      </xdr:txBody>
    </xdr:sp>
    <xdr:clientData/>
  </xdr:oneCellAnchor>
  <xdr:twoCellAnchor>
    <xdr:from>
      <xdr:col>7</xdr:col>
      <xdr:colOff>22860</xdr:colOff>
      <xdr:row>45</xdr:row>
      <xdr:rowOff>137160</xdr:rowOff>
    </xdr:from>
    <xdr:to>
      <xdr:col>8</xdr:col>
      <xdr:colOff>365760</xdr:colOff>
      <xdr:row>48</xdr:row>
      <xdr:rowOff>73152</xdr:rowOff>
    </xdr:to>
    <xdr:sp macro="" textlink="">
      <xdr:nvSpPr>
        <xdr:cNvPr id="14" name="Arrow: Right 13">
          <a:extLst>
            <a:ext uri="{FF2B5EF4-FFF2-40B4-BE49-F238E27FC236}">
              <a16:creationId xmlns:a16="http://schemas.microsoft.com/office/drawing/2014/main" id="{5830F7CE-9A34-05E4-7955-600B38DA3AA6}"/>
            </a:ext>
          </a:extLst>
        </xdr:cNvPr>
        <xdr:cNvSpPr/>
      </xdr:nvSpPr>
      <xdr:spPr>
        <a:xfrm>
          <a:off x="6149340" y="8999220"/>
          <a:ext cx="952500" cy="48463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8</xdr:col>
      <xdr:colOff>403860</xdr:colOff>
      <xdr:row>20</xdr:row>
      <xdr:rowOff>99060</xdr:rowOff>
    </xdr:from>
    <xdr:ext cx="12153900" cy="4601260"/>
    <xdr:sp macro="" textlink="">
      <xdr:nvSpPr>
        <xdr:cNvPr id="15" name="TextBox 14">
          <a:extLst>
            <a:ext uri="{FF2B5EF4-FFF2-40B4-BE49-F238E27FC236}">
              <a16:creationId xmlns:a16="http://schemas.microsoft.com/office/drawing/2014/main" id="{66D7D528-D1A6-4797-B511-B144E8F1E7B4}"/>
            </a:ext>
          </a:extLst>
        </xdr:cNvPr>
        <xdr:cNvSpPr txBox="1"/>
      </xdr:nvSpPr>
      <xdr:spPr>
        <a:xfrm>
          <a:off x="7139940" y="3840480"/>
          <a:ext cx="12153900" cy="460126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Objective of this What-If table</a:t>
          </a:r>
        </a:p>
        <a:p>
          <a:endParaRPr lang="en-IN" sz="1200" b="0"/>
        </a:p>
        <a:p>
          <a:r>
            <a:rPr lang="en-IN" sz="1200" b="0"/>
            <a:t>To undertsnad</a:t>
          </a:r>
          <a:r>
            <a:rPr lang="en-IN" sz="1200" b="0" baseline="0"/>
            <a:t> a</a:t>
          </a:r>
          <a:r>
            <a:rPr lang="en-IN" sz="1200" b="0"/>
            <a:t>t what downtime cost does Active-Active become financially justified over Active-Passive?</a:t>
          </a:r>
        </a:p>
        <a:p>
          <a:endParaRPr lang="en-IN" sz="1200" b="0"/>
        </a:p>
        <a:p>
          <a:r>
            <a:rPr lang="en-IN" sz="1200" b="1">
              <a:solidFill>
                <a:schemeClr val="accent2">
                  <a:lumMod val="50000"/>
                </a:schemeClr>
              </a:solidFill>
            </a:rPr>
            <a:t>Final answers to the decision questions</a:t>
          </a:r>
        </a:p>
        <a:p>
          <a:endParaRPr lang="en-IN" sz="1200" b="1"/>
        </a:p>
        <a:p>
          <a:r>
            <a:rPr lang="en-IN" sz="1200" b="1"/>
            <a:t>When is Active-Passive the right choice?</a:t>
          </a:r>
        </a:p>
        <a:p>
          <a:r>
            <a:rPr lang="en-IN" sz="1200"/>
            <a:t>When:</a:t>
          </a:r>
        </a:p>
        <a:p>
          <a:r>
            <a:rPr lang="en-IN" sz="1200"/>
            <a:t>Downtime cost is </a:t>
          </a:r>
          <a:r>
            <a:rPr lang="en-IN" sz="1200" b="1"/>
            <a:t>below ~$160K/hour</a:t>
          </a:r>
          <a:endParaRPr lang="en-IN" sz="1200"/>
        </a:p>
        <a:p>
          <a:r>
            <a:rPr lang="en-IN" sz="1200"/>
            <a:t>Business can tolerate </a:t>
          </a:r>
          <a:r>
            <a:rPr lang="en-IN" sz="1200" b="1"/>
            <a:t>hours of recovery</a:t>
          </a:r>
          <a:endParaRPr lang="en-IN" sz="1200"/>
        </a:p>
        <a:p>
          <a:r>
            <a:rPr lang="en-IN" sz="1200"/>
            <a:t>Cost efficiency &gt; ultra-high availability</a:t>
          </a:r>
          <a:br>
            <a:rPr lang="en-IN" sz="1200"/>
          </a:br>
          <a:endParaRPr lang="en-IN" sz="1200"/>
        </a:p>
        <a:p>
          <a:r>
            <a:rPr lang="en-IN" sz="1200" b="1"/>
            <a:t>When does Active-Active make financial sense?</a:t>
          </a:r>
        </a:p>
        <a:p>
          <a:r>
            <a:rPr lang="en-IN" sz="1200"/>
            <a:t>When:</a:t>
          </a:r>
        </a:p>
        <a:p>
          <a:r>
            <a:rPr lang="en-IN" sz="1200"/>
            <a:t>Downtime cost exceeds </a:t>
          </a:r>
          <a:r>
            <a:rPr lang="en-IN" sz="1200" b="1"/>
            <a:t>~$180K–$200K/hour</a:t>
          </a:r>
          <a:endParaRPr lang="en-IN" sz="1200"/>
        </a:p>
        <a:p>
          <a:r>
            <a:rPr lang="en-IN" sz="1200"/>
            <a:t>Even short outages cause </a:t>
          </a:r>
          <a:r>
            <a:rPr lang="en-IN" sz="1200" b="1"/>
            <a:t>severe revenue, regulatory, or reputational loss</a:t>
          </a:r>
          <a:endParaRPr lang="en-IN" sz="1200"/>
        </a:p>
        <a:p>
          <a:r>
            <a:rPr lang="en-IN" sz="1200"/>
            <a:t>RTO must be </a:t>
          </a:r>
          <a:r>
            <a:rPr lang="en-IN" sz="1200" b="1"/>
            <a:t>near-zero</a:t>
          </a:r>
          <a:br>
            <a:rPr lang="en-IN" sz="1200"/>
          </a:br>
          <a:endParaRPr lang="en-IN" sz="1200"/>
        </a:p>
        <a:p>
          <a:r>
            <a:rPr lang="en-IN" sz="1200" b="1">
              <a:solidFill>
                <a:srgbClr val="FF0000"/>
              </a:solidFill>
            </a:rPr>
            <a:t>Conclusion</a:t>
          </a:r>
        </a:p>
        <a:p>
          <a:endParaRPr lang="en-IN" sz="1200" b="1"/>
        </a:p>
        <a:p>
          <a:r>
            <a:rPr lang="en-IN" sz="1200" b="0"/>
            <a:t>Active-Active is not universally better. It becomes economically justified </a:t>
          </a:r>
          <a:r>
            <a:rPr lang="en-IN" sz="1200" b="1">
              <a:solidFill>
                <a:sysClr val="windowText" lastClr="000000"/>
              </a:solidFill>
            </a:rPr>
            <a:t>only when the expected cost of downtime exceeds a quantifiable threshold.</a:t>
          </a:r>
        </a:p>
        <a:p>
          <a:endParaRPr lang="en-IN" sz="1200" b="1">
            <a:solidFill>
              <a:sysClr val="windowText" lastClr="000000"/>
            </a:solidFill>
          </a:endParaRPr>
        </a:p>
        <a:p>
          <a:r>
            <a:rPr lang="en-IN" sz="1200" b="0"/>
            <a:t>This model identifies that threshold and converts DR architecture from a technical preference into a financial decision.</a:t>
          </a:r>
        </a:p>
        <a:p>
          <a:endParaRPr lang="en-IN" sz="1200" b="0"/>
        </a:p>
      </xdr:txBody>
    </xdr:sp>
    <xdr:clientData/>
  </xdr:oneCellAnchor>
  <xdr:twoCellAnchor>
    <xdr:from>
      <xdr:col>6</xdr:col>
      <xdr:colOff>1036320</xdr:colOff>
      <xdr:row>35</xdr:row>
      <xdr:rowOff>45720</xdr:rowOff>
    </xdr:from>
    <xdr:to>
      <xdr:col>8</xdr:col>
      <xdr:colOff>388620</xdr:colOff>
      <xdr:row>37</xdr:row>
      <xdr:rowOff>164592</xdr:rowOff>
    </xdr:to>
    <xdr:sp macro="" textlink="">
      <xdr:nvSpPr>
        <xdr:cNvPr id="16" name="Arrow: Right 15">
          <a:extLst>
            <a:ext uri="{FF2B5EF4-FFF2-40B4-BE49-F238E27FC236}">
              <a16:creationId xmlns:a16="http://schemas.microsoft.com/office/drawing/2014/main" id="{96B07A9C-CE5B-4C12-A009-2BA7E11ECDBB}"/>
            </a:ext>
          </a:extLst>
        </xdr:cNvPr>
        <xdr:cNvSpPr/>
      </xdr:nvSpPr>
      <xdr:spPr>
        <a:xfrm>
          <a:off x="6118860" y="6530340"/>
          <a:ext cx="1005840" cy="48463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38100</xdr:colOff>
      <xdr:row>48</xdr:row>
      <xdr:rowOff>38100</xdr:rowOff>
    </xdr:from>
    <xdr:to>
      <xdr:col>2</xdr:col>
      <xdr:colOff>609600</xdr:colOff>
      <xdr:row>49</xdr:row>
      <xdr:rowOff>38100</xdr:rowOff>
    </xdr:to>
    <xdr:sp macro="" textlink="">
      <xdr:nvSpPr>
        <xdr:cNvPr id="17" name="Arrow: Right 16">
          <a:extLst>
            <a:ext uri="{FF2B5EF4-FFF2-40B4-BE49-F238E27FC236}">
              <a16:creationId xmlns:a16="http://schemas.microsoft.com/office/drawing/2014/main" id="{23C67DBF-807A-461A-A003-1A534324B868}"/>
            </a:ext>
          </a:extLst>
        </xdr:cNvPr>
        <xdr:cNvSpPr/>
      </xdr:nvSpPr>
      <xdr:spPr>
        <a:xfrm>
          <a:off x="1958340" y="9448800"/>
          <a:ext cx="571500" cy="365760"/>
        </a:xfrm>
        <a:prstGeom prst="rightArrow">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640080</xdr:colOff>
      <xdr:row>48</xdr:row>
      <xdr:rowOff>99060</xdr:rowOff>
    </xdr:from>
    <xdr:ext cx="1752600" cy="436786"/>
    <xdr:sp macro="" textlink="">
      <xdr:nvSpPr>
        <xdr:cNvPr id="19" name="TextBox 18">
          <a:extLst>
            <a:ext uri="{FF2B5EF4-FFF2-40B4-BE49-F238E27FC236}">
              <a16:creationId xmlns:a16="http://schemas.microsoft.com/office/drawing/2014/main" id="{41F2AC19-9292-457C-B67C-A4D6FA8A02A0}"/>
            </a:ext>
          </a:extLst>
        </xdr:cNvPr>
        <xdr:cNvSpPr txBox="1"/>
      </xdr:nvSpPr>
      <xdr:spPr>
        <a:xfrm>
          <a:off x="2560320" y="9509760"/>
          <a:ext cx="1752600" cy="436786"/>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t>This value is used in column cell for Data table</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76201</xdr:colOff>
      <xdr:row>6</xdr:row>
      <xdr:rowOff>68581</xdr:rowOff>
    </xdr:from>
    <xdr:ext cx="10957559" cy="1790700"/>
    <xdr:sp macro="" textlink="">
      <xdr:nvSpPr>
        <xdr:cNvPr id="2" name="TextBox 1">
          <a:extLst>
            <a:ext uri="{FF2B5EF4-FFF2-40B4-BE49-F238E27FC236}">
              <a16:creationId xmlns:a16="http://schemas.microsoft.com/office/drawing/2014/main" id="{87379C76-C2C7-BB60-4EFE-C429DC418E92}"/>
            </a:ext>
          </a:extLst>
        </xdr:cNvPr>
        <xdr:cNvSpPr txBox="1"/>
      </xdr:nvSpPr>
      <xdr:spPr>
        <a:xfrm>
          <a:off x="76201" y="1165861"/>
          <a:ext cx="10957559" cy="179070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1"/>
            <a:t>Reserved Instances vs Savings Plans vs Pay-As-You-Go (Decision under Variability)</a:t>
          </a:r>
        </a:p>
        <a:p>
          <a:r>
            <a:rPr lang="en-IN" sz="1200"/>
            <a:t>This case builds directly on your FinOps strength and adds </a:t>
          </a:r>
          <a:r>
            <a:rPr lang="en-IN" sz="1200" b="1"/>
            <a:t>comparative commitment analysis</a:t>
          </a:r>
          <a:r>
            <a:rPr lang="en-IN" sz="1200"/>
            <a:t>, which is highly valued in senior roles.</a:t>
          </a:r>
        </a:p>
        <a:p>
          <a:br>
            <a:rPr lang="en-IN" sz="1200"/>
          </a:br>
          <a:endParaRPr lang="en-IN" sz="1200"/>
        </a:p>
        <a:p>
          <a:r>
            <a:rPr lang="en-IN" sz="1200" b="1"/>
            <a:t>Case Objective (what this case proves)</a:t>
          </a:r>
        </a:p>
        <a:p>
          <a:r>
            <a:rPr lang="en-IN" sz="1200"/>
            <a:t>To evaluate </a:t>
          </a:r>
          <a:r>
            <a:rPr lang="en-IN" sz="1200" b="1"/>
            <a:t>Pay-As-You-Go vs Reserved Instances vs Savings Plans</a:t>
          </a:r>
          <a:r>
            <a:rPr lang="en-IN" sz="1200"/>
            <a:t> under variable utilization and determine </a:t>
          </a:r>
          <a:r>
            <a:rPr lang="en-IN" sz="1200" b="1"/>
            <a:t>which commitment strategy maximizes NPV while minimizing risk</a:t>
          </a:r>
          <a:r>
            <a:rPr lang="en-IN" sz="1200"/>
            <a:t>.</a:t>
          </a:r>
        </a:p>
        <a:p>
          <a:r>
            <a:rPr lang="en-IN" sz="1200"/>
            <a:t>This case answers:</a:t>
          </a:r>
        </a:p>
        <a:p>
          <a:r>
            <a:rPr lang="en-IN" sz="1200"/>
            <a:t>When RI is </a:t>
          </a:r>
          <a:r>
            <a:rPr lang="en-IN" sz="1200" i="1"/>
            <a:t>too rigid</a:t>
          </a:r>
          <a:endParaRPr lang="en-IN" sz="1200"/>
        </a:p>
        <a:p>
          <a:r>
            <a:rPr lang="en-IN" sz="1200"/>
            <a:t>When Savings Plans outperform RI</a:t>
          </a:r>
        </a:p>
        <a:p>
          <a:r>
            <a:rPr lang="en-IN" sz="1200"/>
            <a:t>When PAYG is still the safest choice</a:t>
          </a:r>
        </a:p>
        <a:p>
          <a:endParaRPr lang="en-IN" sz="1200" b="1"/>
        </a:p>
        <a:p>
          <a:endParaRPr lang="en-IN" sz="1200" b="1"/>
        </a:p>
        <a:p>
          <a:br>
            <a:rPr lang="en-IN" sz="1200"/>
          </a:br>
          <a:endParaRPr lang="en-IN" sz="1200"/>
        </a:p>
        <a:p>
          <a:endParaRPr lang="en-IN" sz="1200"/>
        </a:p>
      </xdr:txBody>
    </xdr:sp>
    <xdr:clientData/>
  </xdr:oneCellAnchor>
  <xdr:oneCellAnchor>
    <xdr:from>
      <xdr:col>0</xdr:col>
      <xdr:colOff>60960</xdr:colOff>
      <xdr:row>17</xdr:row>
      <xdr:rowOff>160020</xdr:rowOff>
    </xdr:from>
    <xdr:ext cx="2510752" cy="2556213"/>
    <xdr:sp macro="" textlink="">
      <xdr:nvSpPr>
        <xdr:cNvPr id="3" name="TextBox 2">
          <a:extLst>
            <a:ext uri="{FF2B5EF4-FFF2-40B4-BE49-F238E27FC236}">
              <a16:creationId xmlns:a16="http://schemas.microsoft.com/office/drawing/2014/main" id="{BF16D3FB-3EBA-5AA4-983B-575E19F5D030}"/>
            </a:ext>
          </a:extLst>
        </xdr:cNvPr>
        <xdr:cNvSpPr txBox="1"/>
      </xdr:nvSpPr>
      <xdr:spPr>
        <a:xfrm>
          <a:off x="60960" y="3268980"/>
          <a:ext cx="2510752" cy="2556213"/>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tx1"/>
              </a:solidFill>
              <a:effectLst/>
              <a:latin typeface="+mn-lt"/>
              <a:ea typeface="+mn-ea"/>
              <a:cs typeface="+mn-cs"/>
            </a:rPr>
            <a:t>🔹 INPUTS </a:t>
          </a:r>
        </a:p>
        <a:p>
          <a:endParaRPr lang="en-IN" sz="1200" b="1">
            <a:solidFill>
              <a:schemeClr val="tx1"/>
            </a:solidFill>
            <a:effectLst/>
            <a:latin typeface="+mn-lt"/>
            <a:ea typeface="+mn-ea"/>
            <a:cs typeface="+mn-cs"/>
          </a:endParaRPr>
        </a:p>
        <a:p>
          <a:r>
            <a:rPr lang="en-IN" sz="1200">
              <a:solidFill>
                <a:schemeClr val="tx1"/>
              </a:solidFill>
              <a:effectLst/>
              <a:latin typeface="+mn-lt"/>
              <a:ea typeface="+mn-ea"/>
              <a:cs typeface="+mn-cs"/>
            </a:rPr>
            <a:t>Number of VMs                    50</a:t>
          </a:r>
          <a:endParaRPr lang="en-IN" sz="1200">
            <a:effectLst/>
          </a:endParaRPr>
        </a:p>
        <a:p>
          <a:pPr rtl="0"/>
          <a:r>
            <a:rPr lang="en-IN" sz="1200">
              <a:solidFill>
                <a:schemeClr val="tx1"/>
              </a:solidFill>
              <a:effectLst/>
              <a:latin typeface="+mn-lt"/>
              <a:ea typeface="+mn-ea"/>
              <a:cs typeface="+mn-cs"/>
            </a:rPr>
            <a:t>Hours per Month                 720</a:t>
          </a:r>
          <a:endParaRPr lang="en-IN" sz="1200">
            <a:effectLst/>
          </a:endParaRPr>
        </a:p>
        <a:p>
          <a:pPr rtl="0"/>
          <a:r>
            <a:rPr lang="en-IN" sz="1200">
              <a:solidFill>
                <a:schemeClr val="tx1"/>
              </a:solidFill>
              <a:effectLst/>
              <a:latin typeface="+mn-lt"/>
              <a:ea typeface="+mn-ea"/>
              <a:cs typeface="+mn-cs"/>
            </a:rPr>
            <a:t>PAYG Rate ($/VM/hr)             0.12</a:t>
          </a:r>
          <a:endParaRPr lang="en-IN" sz="1200">
            <a:effectLst/>
          </a:endParaRPr>
        </a:p>
        <a:p>
          <a:pPr rtl="0"/>
          <a:r>
            <a:rPr lang="en-IN" sz="1200">
              <a:solidFill>
                <a:schemeClr val="tx1"/>
              </a:solidFill>
              <a:effectLst/>
              <a:latin typeface="+mn-lt"/>
              <a:ea typeface="+mn-ea"/>
              <a:cs typeface="+mn-cs"/>
            </a:rPr>
            <a:t>Reserved Instance Rate ($/VM/hr)0.08</a:t>
          </a:r>
          <a:endParaRPr lang="en-IN" sz="1200">
            <a:effectLst/>
          </a:endParaRPr>
        </a:p>
        <a:p>
          <a:pPr rtl="0"/>
          <a:r>
            <a:rPr lang="en-IN" sz="1200">
              <a:solidFill>
                <a:schemeClr val="tx1"/>
              </a:solidFill>
              <a:effectLst/>
              <a:latin typeface="+mn-lt"/>
              <a:ea typeface="+mn-ea"/>
              <a:cs typeface="+mn-cs"/>
            </a:rPr>
            <a:t>Savings Plan Rate ($/VM/hr)     0.085</a:t>
          </a:r>
          <a:endParaRPr lang="en-IN" sz="1200">
            <a:effectLst/>
          </a:endParaRPr>
        </a:p>
        <a:p>
          <a:pPr rtl="0"/>
          <a:r>
            <a:rPr lang="en-IN" sz="1200">
              <a:solidFill>
                <a:schemeClr val="tx1"/>
              </a:solidFill>
              <a:effectLst/>
              <a:latin typeface="+mn-lt"/>
              <a:ea typeface="+mn-ea"/>
              <a:cs typeface="+mn-cs"/>
            </a:rPr>
            <a:t>RI Upfront Cost (per VM)        500</a:t>
          </a:r>
          <a:endParaRPr lang="en-IN" sz="1200">
            <a:effectLst/>
          </a:endParaRPr>
        </a:p>
        <a:p>
          <a:pPr rtl="0"/>
          <a:r>
            <a:rPr lang="en-IN" sz="1200">
              <a:solidFill>
                <a:schemeClr val="tx1"/>
              </a:solidFill>
              <a:effectLst/>
              <a:latin typeface="+mn-lt"/>
              <a:ea typeface="+mn-ea"/>
              <a:cs typeface="+mn-cs"/>
            </a:rPr>
            <a:t>RI Term (Years)                 3</a:t>
          </a:r>
          <a:endParaRPr lang="en-IN" sz="1200">
            <a:effectLst/>
          </a:endParaRPr>
        </a:p>
        <a:p>
          <a:pPr rtl="0"/>
          <a:r>
            <a:rPr lang="en-IN" sz="1200">
              <a:solidFill>
                <a:schemeClr val="tx1"/>
              </a:solidFill>
              <a:effectLst/>
              <a:latin typeface="+mn-lt"/>
              <a:ea typeface="+mn-ea"/>
              <a:cs typeface="+mn-cs"/>
            </a:rPr>
            <a:t>Average Utilization %           70%</a:t>
          </a:r>
          <a:endParaRPr lang="en-IN" sz="1200">
            <a:effectLst/>
          </a:endParaRPr>
        </a:p>
        <a:p>
          <a:pPr rtl="0"/>
          <a:r>
            <a:rPr lang="en-IN" sz="1200">
              <a:solidFill>
                <a:schemeClr val="tx1"/>
              </a:solidFill>
              <a:effectLst/>
              <a:latin typeface="+mn-lt"/>
              <a:ea typeface="+mn-ea"/>
              <a:cs typeface="+mn-cs"/>
            </a:rPr>
            <a:t>Discount Rate                   10%</a:t>
          </a:r>
          <a:endParaRPr lang="en-IN" sz="1200">
            <a:effectLst/>
          </a:endParaRPr>
        </a:p>
        <a:p>
          <a:pPr rtl="0"/>
          <a:r>
            <a:rPr lang="en-IN" sz="1200">
              <a:solidFill>
                <a:schemeClr val="tx1"/>
              </a:solidFill>
              <a:effectLst/>
              <a:latin typeface="+mn-lt"/>
              <a:ea typeface="+mn-ea"/>
              <a:cs typeface="+mn-cs"/>
            </a:rPr>
            <a:t>Analysis Period (Years)         3</a:t>
          </a:r>
          <a:endParaRPr lang="en-IN" sz="1200">
            <a:effectLst/>
          </a:endParaRPr>
        </a:p>
        <a:p>
          <a:endParaRPr lang="en-IN" sz="1200"/>
        </a:p>
      </xdr:txBody>
    </xdr:sp>
    <xdr:clientData/>
  </xdr:oneCellAnchor>
  <xdr:oneCellAnchor>
    <xdr:from>
      <xdr:col>13</xdr:col>
      <xdr:colOff>502920</xdr:colOff>
      <xdr:row>6</xdr:row>
      <xdr:rowOff>68580</xdr:rowOff>
    </xdr:from>
    <xdr:ext cx="6446520" cy="5250180"/>
    <xdr:sp macro="" textlink="">
      <xdr:nvSpPr>
        <xdr:cNvPr id="4" name="TextBox 3">
          <a:extLst>
            <a:ext uri="{FF2B5EF4-FFF2-40B4-BE49-F238E27FC236}">
              <a16:creationId xmlns:a16="http://schemas.microsoft.com/office/drawing/2014/main" id="{62528DDF-4E8D-4646-8922-B86D22DBC97D}"/>
            </a:ext>
          </a:extLst>
        </xdr:cNvPr>
        <xdr:cNvSpPr txBox="1"/>
      </xdr:nvSpPr>
      <xdr:spPr>
        <a:xfrm>
          <a:off x="11209020" y="1165860"/>
          <a:ext cx="6446520" cy="5250180"/>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solidFill>
                <a:schemeClr val="tx1"/>
              </a:solidFill>
              <a:effectLst/>
              <a:latin typeface="+mn-lt"/>
              <a:ea typeface="+mn-ea"/>
              <a:cs typeface="+mn-cs"/>
            </a:rPr>
            <a:t>Logic and formula</a:t>
          </a:r>
          <a:r>
            <a:rPr lang="en-IN" sz="1200" b="1" baseline="0">
              <a:solidFill>
                <a:schemeClr val="tx1"/>
              </a:solidFill>
              <a:effectLst/>
              <a:latin typeface="+mn-lt"/>
              <a:ea typeface="+mn-ea"/>
              <a:cs typeface="+mn-cs"/>
            </a:rPr>
            <a:t> used</a:t>
          </a:r>
          <a:br>
            <a:rPr lang="en-IN" sz="1200">
              <a:solidFill>
                <a:schemeClr val="tx1"/>
              </a:solidFill>
              <a:effectLst/>
              <a:latin typeface="+mn-lt"/>
              <a:ea typeface="+mn-ea"/>
              <a:cs typeface="+mn-cs"/>
            </a:rPr>
          </a:br>
          <a:endParaRPr lang="en-IN" sz="1200">
            <a:effectLst/>
          </a:endParaRPr>
        </a:p>
        <a:p>
          <a:r>
            <a:rPr lang="en-IN" sz="1200" b="1">
              <a:solidFill>
                <a:schemeClr val="tx1"/>
              </a:solidFill>
              <a:effectLst/>
              <a:latin typeface="+mn-lt"/>
              <a:ea typeface="+mn-ea"/>
              <a:cs typeface="+mn-cs"/>
            </a:rPr>
            <a:t>🔹 DERIVED – Annual Cost Comparison</a:t>
          </a:r>
          <a:endParaRPr lang="en-IN" sz="1200">
            <a:effectLst/>
          </a:endParaRPr>
        </a:p>
        <a:p>
          <a:pPr rtl="0"/>
          <a:r>
            <a:rPr lang="en-IN" sz="1200">
              <a:solidFill>
                <a:schemeClr val="tx1"/>
              </a:solidFill>
              <a:effectLst/>
              <a:latin typeface="+mn-lt"/>
              <a:ea typeface="+mn-ea"/>
              <a:cs typeface="+mn-cs"/>
            </a:rPr>
            <a:t>Annual PAYG Cost</a:t>
          </a:r>
          <a:endParaRPr lang="en-IN" sz="1200">
            <a:effectLst/>
          </a:endParaRPr>
        </a:p>
        <a:p>
          <a:pPr rtl="0"/>
          <a:r>
            <a:rPr lang="en-IN" sz="1200">
              <a:solidFill>
                <a:schemeClr val="tx1"/>
              </a:solidFill>
              <a:effectLst/>
              <a:latin typeface="+mn-lt"/>
              <a:ea typeface="+mn-ea"/>
              <a:cs typeface="+mn-cs"/>
            </a:rPr>
            <a:t>= Effective Annual Hours * Number of VMs * PAYG Rate</a:t>
          </a:r>
          <a:endParaRPr lang="en-IN" sz="1200">
            <a:effectLst/>
          </a:endParaRPr>
        </a:p>
        <a:p>
          <a:pPr rtl="0"/>
          <a:r>
            <a:rPr lang="en-IN" sz="1200">
              <a:solidFill>
                <a:schemeClr val="tx1"/>
              </a:solidFill>
              <a:effectLst/>
              <a:latin typeface="+mn-lt"/>
              <a:ea typeface="+mn-ea"/>
              <a:cs typeface="+mn-cs"/>
            </a:rPr>
            <a:t>Annual RI Usage Cost</a:t>
          </a:r>
          <a:endParaRPr lang="en-IN" sz="1200">
            <a:effectLst/>
          </a:endParaRPr>
        </a:p>
        <a:p>
          <a:pPr rtl="0"/>
          <a:r>
            <a:rPr lang="en-IN" sz="1200">
              <a:solidFill>
                <a:schemeClr val="tx1"/>
              </a:solidFill>
              <a:effectLst/>
              <a:latin typeface="+mn-lt"/>
              <a:ea typeface="+mn-ea"/>
              <a:cs typeface="+mn-cs"/>
            </a:rPr>
            <a:t>= Effective Annual Hours * Number of VMs * RI Rate</a:t>
          </a:r>
          <a:endParaRPr lang="en-IN" sz="1200">
            <a:effectLst/>
          </a:endParaRPr>
        </a:p>
        <a:p>
          <a:pPr rtl="0"/>
          <a:r>
            <a:rPr lang="en-IN" sz="1200">
              <a:solidFill>
                <a:schemeClr val="tx1"/>
              </a:solidFill>
              <a:effectLst/>
              <a:latin typeface="+mn-lt"/>
              <a:ea typeface="+mn-ea"/>
              <a:cs typeface="+mn-cs"/>
            </a:rPr>
            <a:t>Annual Savings Plan Cost</a:t>
          </a:r>
          <a:endParaRPr lang="en-IN" sz="1200">
            <a:effectLst/>
          </a:endParaRPr>
        </a:p>
        <a:p>
          <a:pPr rtl="0"/>
          <a:r>
            <a:rPr lang="en-IN" sz="1200">
              <a:solidFill>
                <a:schemeClr val="tx1"/>
              </a:solidFill>
              <a:effectLst/>
              <a:latin typeface="+mn-lt"/>
              <a:ea typeface="+mn-ea"/>
              <a:cs typeface="+mn-cs"/>
            </a:rPr>
            <a:t>= Effective Annual Hours * Number of VMs * SP Rate</a:t>
          </a:r>
          <a:endParaRPr lang="en-IN" sz="1200">
            <a:effectLst/>
          </a:endParaRPr>
        </a:p>
        <a:p>
          <a:pPr rtl="0"/>
          <a:r>
            <a:rPr lang="en-IN" sz="1200">
              <a:solidFill>
                <a:schemeClr val="tx1"/>
              </a:solidFill>
              <a:effectLst/>
              <a:latin typeface="+mn-lt"/>
              <a:ea typeface="+mn-ea"/>
              <a:cs typeface="+mn-cs"/>
            </a:rPr>
            <a:t>Total RI Upfront Cost</a:t>
          </a:r>
          <a:endParaRPr lang="en-IN" sz="1200">
            <a:effectLst/>
          </a:endParaRPr>
        </a:p>
        <a:p>
          <a:pPr rtl="0"/>
          <a:r>
            <a:rPr lang="en-IN" sz="1200">
              <a:solidFill>
                <a:schemeClr val="tx1"/>
              </a:solidFill>
              <a:effectLst/>
              <a:latin typeface="+mn-lt"/>
              <a:ea typeface="+mn-ea"/>
              <a:cs typeface="+mn-cs"/>
            </a:rPr>
            <a:t>= RI Upfront Cost * Number of VMs</a:t>
          </a:r>
          <a:br>
            <a:rPr lang="en-IN" sz="1200">
              <a:solidFill>
                <a:schemeClr val="tx1"/>
              </a:solidFill>
              <a:effectLst/>
              <a:latin typeface="+mn-lt"/>
              <a:ea typeface="+mn-ea"/>
              <a:cs typeface="+mn-cs"/>
            </a:rPr>
          </a:br>
          <a:endParaRPr lang="en-IN" sz="1200">
            <a:effectLst/>
          </a:endParaRPr>
        </a:p>
        <a:p>
          <a:r>
            <a:rPr lang="en-IN" sz="1200" b="1">
              <a:solidFill>
                <a:schemeClr val="tx1"/>
              </a:solidFill>
              <a:effectLst/>
              <a:latin typeface="+mn-lt"/>
              <a:ea typeface="+mn-ea"/>
              <a:cs typeface="+mn-cs"/>
            </a:rPr>
            <a:t>🔹 ANNUAL SAVINGS VS PAYG</a:t>
          </a:r>
          <a:endParaRPr lang="en-IN" sz="1200">
            <a:effectLst/>
          </a:endParaRPr>
        </a:p>
        <a:p>
          <a:pPr rtl="0"/>
          <a:r>
            <a:rPr lang="en-IN" sz="1200">
              <a:solidFill>
                <a:schemeClr val="tx1"/>
              </a:solidFill>
              <a:effectLst/>
              <a:latin typeface="+mn-lt"/>
              <a:ea typeface="+mn-ea"/>
              <a:cs typeface="+mn-cs"/>
            </a:rPr>
            <a:t>Annual Savings – RI</a:t>
          </a:r>
          <a:endParaRPr lang="en-IN" sz="1200">
            <a:effectLst/>
          </a:endParaRPr>
        </a:p>
        <a:p>
          <a:pPr rtl="0"/>
          <a:r>
            <a:rPr lang="en-IN" sz="1200">
              <a:solidFill>
                <a:schemeClr val="tx1"/>
              </a:solidFill>
              <a:effectLst/>
              <a:latin typeface="+mn-lt"/>
              <a:ea typeface="+mn-ea"/>
              <a:cs typeface="+mn-cs"/>
            </a:rPr>
            <a:t>= PAYG Cost – RI Cost</a:t>
          </a:r>
          <a:endParaRPr lang="en-IN" sz="1200">
            <a:effectLst/>
          </a:endParaRPr>
        </a:p>
        <a:p>
          <a:pPr rtl="0"/>
          <a:r>
            <a:rPr lang="en-IN" sz="1200">
              <a:solidFill>
                <a:schemeClr val="tx1"/>
              </a:solidFill>
              <a:effectLst/>
              <a:latin typeface="+mn-lt"/>
              <a:ea typeface="+mn-ea"/>
              <a:cs typeface="+mn-cs"/>
            </a:rPr>
            <a:t>Annual Savings – Savings Plan</a:t>
          </a:r>
          <a:endParaRPr lang="en-IN" sz="1200">
            <a:effectLst/>
          </a:endParaRPr>
        </a:p>
        <a:p>
          <a:pPr rtl="0"/>
          <a:r>
            <a:rPr lang="en-IN" sz="1200">
              <a:solidFill>
                <a:schemeClr val="tx1"/>
              </a:solidFill>
              <a:effectLst/>
              <a:latin typeface="+mn-lt"/>
              <a:ea typeface="+mn-ea"/>
              <a:cs typeface="+mn-cs"/>
            </a:rPr>
            <a:t>= PAYG Cost – SP Cost</a:t>
          </a:r>
          <a:br>
            <a:rPr lang="en-IN" sz="1200">
              <a:solidFill>
                <a:schemeClr val="tx1"/>
              </a:solidFill>
              <a:effectLst/>
              <a:latin typeface="+mn-lt"/>
              <a:ea typeface="+mn-ea"/>
              <a:cs typeface="+mn-cs"/>
            </a:rPr>
          </a:br>
          <a:endParaRPr lang="en-IN" sz="1200">
            <a:effectLst/>
          </a:endParaRPr>
        </a:p>
        <a:p>
          <a:pPr rtl="0"/>
          <a:r>
            <a:rPr lang="en-IN" sz="1200">
              <a:solidFill>
                <a:schemeClr val="tx1"/>
              </a:solidFill>
              <a:effectLst/>
              <a:latin typeface="+mn-lt"/>
              <a:ea typeface="+mn-ea"/>
              <a:cs typeface="+mn-cs"/>
            </a:rPr>
            <a:t>Discount Factor</a:t>
          </a:r>
          <a:endParaRPr lang="en-IN" sz="1200">
            <a:effectLst/>
          </a:endParaRPr>
        </a:p>
        <a:p>
          <a:pPr rtl="0"/>
          <a:r>
            <a:rPr lang="en-IN" sz="1200">
              <a:solidFill>
                <a:schemeClr val="tx1"/>
              </a:solidFill>
              <a:effectLst/>
              <a:latin typeface="+mn-lt"/>
              <a:ea typeface="+mn-ea"/>
              <a:cs typeface="+mn-cs"/>
            </a:rPr>
            <a:t>=1/(1+Discount Rate)^Year</a:t>
          </a:r>
          <a:br>
            <a:rPr lang="en-IN" sz="1200">
              <a:solidFill>
                <a:schemeClr val="tx1"/>
              </a:solidFill>
              <a:effectLst/>
              <a:latin typeface="+mn-lt"/>
              <a:ea typeface="+mn-ea"/>
              <a:cs typeface="+mn-cs"/>
            </a:rPr>
          </a:br>
          <a:endParaRPr lang="en-IN" sz="1200">
            <a:effectLst/>
          </a:endParaRPr>
        </a:p>
        <a:p>
          <a:r>
            <a:rPr lang="en-IN" sz="1200" b="1">
              <a:solidFill>
                <a:schemeClr val="tx1"/>
              </a:solidFill>
              <a:effectLst/>
              <a:latin typeface="+mn-lt"/>
              <a:ea typeface="+mn-ea"/>
              <a:cs typeface="+mn-cs"/>
            </a:rPr>
            <a:t>🔹 DECISION LOGIC (Formula-based)</a:t>
          </a:r>
          <a:endParaRPr lang="en-IN" sz="1200">
            <a:effectLst/>
          </a:endParaRPr>
        </a:p>
        <a:p>
          <a:pPr rtl="0"/>
          <a:r>
            <a:rPr lang="en-IN" sz="1200">
              <a:solidFill>
                <a:schemeClr val="tx1"/>
              </a:solidFill>
              <a:effectLst/>
              <a:latin typeface="+mn-lt"/>
              <a:ea typeface="+mn-ea"/>
              <a:cs typeface="+mn-cs"/>
            </a:rPr>
            <a:t>=IF(</a:t>
          </a:r>
          <a:endParaRPr lang="en-IN" sz="1200">
            <a:effectLst/>
          </a:endParaRPr>
        </a:p>
        <a:p>
          <a:pPr rtl="0"/>
          <a:r>
            <a:rPr lang="en-IN" sz="1200">
              <a:solidFill>
                <a:schemeClr val="tx1"/>
              </a:solidFill>
              <a:effectLst/>
              <a:latin typeface="+mn-lt"/>
              <a:ea typeface="+mn-ea"/>
              <a:cs typeface="+mn-cs"/>
            </a:rPr>
            <a:t>   NPV_RI &lt; NPV_SP,</a:t>
          </a:r>
          <a:endParaRPr lang="en-IN" sz="1200">
            <a:effectLst/>
          </a:endParaRPr>
        </a:p>
        <a:p>
          <a:pPr rtl="0"/>
          <a:r>
            <a:rPr lang="en-IN" sz="1200">
              <a:solidFill>
                <a:schemeClr val="tx1"/>
              </a:solidFill>
              <a:effectLst/>
              <a:latin typeface="+mn-lt"/>
              <a:ea typeface="+mn-ea"/>
              <a:cs typeface="+mn-cs"/>
            </a:rPr>
            <a:t>   IF(NPV_RI &lt; NPV_PAYG,"Reserved Instance","Savings Plan"),</a:t>
          </a:r>
          <a:endParaRPr lang="en-IN" sz="1200">
            <a:effectLst/>
          </a:endParaRPr>
        </a:p>
        <a:p>
          <a:pPr rtl="0"/>
          <a:r>
            <a:rPr lang="en-IN" sz="1200">
              <a:solidFill>
                <a:schemeClr val="tx1"/>
              </a:solidFill>
              <a:effectLst/>
              <a:latin typeface="+mn-lt"/>
              <a:ea typeface="+mn-ea"/>
              <a:cs typeface="+mn-cs"/>
            </a:rPr>
            <a:t>   IF(NPV_SP &lt; NPV_PAYG,"Savings Plan","Pay-As-You-Go")</a:t>
          </a:r>
          <a:endParaRPr lang="en-IN" sz="1200">
            <a:effectLst/>
          </a:endParaRPr>
        </a:p>
        <a:p>
          <a:pPr rtl="0"/>
          <a:r>
            <a:rPr lang="en-IN" sz="1200">
              <a:solidFill>
                <a:schemeClr val="tx1"/>
              </a:solidFill>
              <a:effectLst/>
              <a:latin typeface="+mn-lt"/>
              <a:ea typeface="+mn-ea"/>
              <a:cs typeface="+mn-cs"/>
            </a:rPr>
            <a:t>)</a:t>
          </a:r>
          <a:endParaRPr lang="en-IN" sz="1200"/>
        </a:p>
      </xdr:txBody>
    </xdr:sp>
    <xdr:clientData/>
  </xdr:oneCellAnchor>
  <xdr:oneCellAnchor>
    <xdr:from>
      <xdr:col>0</xdr:col>
      <xdr:colOff>0</xdr:colOff>
      <xdr:row>74</xdr:row>
      <xdr:rowOff>106680</xdr:rowOff>
    </xdr:from>
    <xdr:ext cx="3375660" cy="1595309"/>
    <xdr:sp macro="" textlink="">
      <xdr:nvSpPr>
        <xdr:cNvPr id="5" name="TextBox 4">
          <a:extLst>
            <a:ext uri="{FF2B5EF4-FFF2-40B4-BE49-F238E27FC236}">
              <a16:creationId xmlns:a16="http://schemas.microsoft.com/office/drawing/2014/main" id="{0D10ADC0-4741-D4B7-C020-02E781D339B0}"/>
            </a:ext>
          </a:extLst>
        </xdr:cNvPr>
        <xdr:cNvSpPr txBox="1"/>
      </xdr:nvSpPr>
      <xdr:spPr>
        <a:xfrm>
          <a:off x="0" y="14752320"/>
          <a:ext cx="3375660" cy="1595309"/>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t>Final takeaway </a:t>
          </a:r>
        </a:p>
        <a:p>
          <a:endParaRPr lang="en-IN" sz="1200"/>
        </a:p>
        <a:p>
          <a:r>
            <a:rPr lang="en-IN" sz="1200"/>
            <a:t>The Savings Plan delivers the highest financial value over the analysis period by achieving the lowest discounted cost while avoiding the rigidity of Reserved Instances. PAYG remains the most flexible option but is materially more expensive over time.</a:t>
          </a:r>
        </a:p>
        <a:p>
          <a:endParaRPr lang="en-IN" sz="1200"/>
        </a:p>
      </xdr:txBody>
    </xdr:sp>
    <xdr:clientData/>
  </xdr:oneCellAnchor>
  <xdr:oneCellAnchor>
    <xdr:from>
      <xdr:col>3</xdr:col>
      <xdr:colOff>22860</xdr:colOff>
      <xdr:row>32</xdr:row>
      <xdr:rowOff>167640</xdr:rowOff>
    </xdr:from>
    <xdr:ext cx="6576060" cy="311496"/>
    <xdr:sp macro="" textlink="">
      <xdr:nvSpPr>
        <xdr:cNvPr id="6" name="TextBox 5">
          <a:extLst>
            <a:ext uri="{FF2B5EF4-FFF2-40B4-BE49-F238E27FC236}">
              <a16:creationId xmlns:a16="http://schemas.microsoft.com/office/drawing/2014/main" id="{74D3CD09-F882-215A-2437-FF635ED7180D}"/>
            </a:ext>
          </a:extLst>
        </xdr:cNvPr>
        <xdr:cNvSpPr txBox="1"/>
      </xdr:nvSpPr>
      <xdr:spPr>
        <a:xfrm>
          <a:off x="5684520" y="6019800"/>
          <a:ext cx="6576060" cy="311496"/>
        </a:xfrm>
        <a:prstGeom prst="rect">
          <a:avLst/>
        </a:prstGeom>
        <a:solidFill>
          <a:schemeClr val="accent4">
            <a:lumMod val="5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400" b="1">
              <a:solidFill>
                <a:schemeClr val="bg1"/>
              </a:solidFill>
            </a:rPr>
            <a:t>What-If Data Table on Utilization % (40%–100%)</a:t>
          </a:r>
        </a:p>
      </xdr:txBody>
    </xdr:sp>
    <xdr:clientData/>
  </xdr:oneCellAnchor>
  <xdr:twoCellAnchor>
    <xdr:from>
      <xdr:col>7</xdr:col>
      <xdr:colOff>255270</xdr:colOff>
      <xdr:row>1062</xdr:row>
      <xdr:rowOff>72390</xdr:rowOff>
    </xdr:from>
    <xdr:to>
      <xdr:col>20</xdr:col>
      <xdr:colOff>22860</xdr:colOff>
      <xdr:row>1076</xdr:row>
      <xdr:rowOff>121920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C8C36D26-7EB9-AC01-57F2-0EB96E8719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926830" y="195403470"/>
              <a:ext cx="7753350" cy="26098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6</xdr:col>
      <xdr:colOff>541020</xdr:colOff>
      <xdr:row>35</xdr:row>
      <xdr:rowOff>76200</xdr:rowOff>
    </xdr:from>
    <xdr:ext cx="2941320" cy="1595309"/>
    <xdr:sp macro="" textlink="">
      <xdr:nvSpPr>
        <xdr:cNvPr id="8" name="TextBox 7">
          <a:extLst>
            <a:ext uri="{FF2B5EF4-FFF2-40B4-BE49-F238E27FC236}">
              <a16:creationId xmlns:a16="http://schemas.microsoft.com/office/drawing/2014/main" id="{D759EDCC-97F1-4D19-8BEF-88740FAF9DDE}"/>
            </a:ext>
          </a:extLst>
        </xdr:cNvPr>
        <xdr:cNvSpPr txBox="1"/>
      </xdr:nvSpPr>
      <xdr:spPr>
        <a:xfrm>
          <a:off x="9335396" y="6351494"/>
          <a:ext cx="2941320" cy="1595309"/>
        </a:xfrm>
        <a:prstGeom prst="rect">
          <a:avLst/>
        </a:prstGeom>
        <a:solidFill>
          <a:schemeClr val="tx2">
            <a:lumMod val="10000"/>
            <a:lumOff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N" sz="1200" b="0">
              <a:solidFill>
                <a:sysClr val="windowText" lastClr="000000"/>
              </a:solidFill>
            </a:rPr>
            <a:t>Show how NPV changes as utilization varies</a:t>
          </a:r>
        </a:p>
        <a:p>
          <a:pPr algn="l"/>
          <a:endParaRPr lang="en-IN" sz="1200" b="0">
            <a:solidFill>
              <a:sysClr val="windowText" lastClr="000000"/>
            </a:solidFill>
          </a:endParaRPr>
        </a:p>
        <a:p>
          <a:pPr algn="l"/>
          <a:r>
            <a:rPr lang="en-IN" sz="1200" b="0">
              <a:solidFill>
                <a:sysClr val="windowText" lastClr="000000"/>
              </a:solidFill>
            </a:rPr>
            <a:t>F37 = NPV</a:t>
          </a:r>
        </a:p>
        <a:p>
          <a:pPr algn="l"/>
          <a:endParaRPr lang="en-IN" sz="1200" b="0">
            <a:solidFill>
              <a:sysClr val="windowText" lastClr="000000"/>
            </a:solidFill>
          </a:endParaRPr>
        </a:p>
        <a:p>
          <a:pPr algn="l"/>
          <a:r>
            <a:rPr lang="en-IN" sz="1200" b="0">
              <a:solidFill>
                <a:sysClr val="windowText" lastClr="000000"/>
              </a:solidFill>
            </a:rPr>
            <a:t>Row input cell → (leave blank)</a:t>
          </a:r>
        </a:p>
        <a:p>
          <a:pPr algn="l"/>
          <a:endParaRPr lang="en-IN" sz="1200" b="0">
            <a:solidFill>
              <a:sysClr val="windowText" lastClr="000000"/>
            </a:solidFill>
          </a:endParaRPr>
        </a:p>
        <a:p>
          <a:pPr algn="l"/>
          <a:r>
            <a:rPr lang="en-IN" sz="1200" b="0">
              <a:solidFill>
                <a:sysClr val="windowText" lastClr="000000"/>
              </a:solidFill>
            </a:rPr>
            <a:t>Column input cell → $B$42 i.e. Utilization Rate		</a:t>
          </a:r>
        </a:p>
      </xdr:txBody>
    </xdr:sp>
    <xdr:clientData/>
  </xdr:oneCellAnchor>
  <xdr:twoCellAnchor>
    <xdr:from>
      <xdr:col>5</xdr:col>
      <xdr:colOff>205740</xdr:colOff>
      <xdr:row>45</xdr:row>
      <xdr:rowOff>26670</xdr:rowOff>
    </xdr:from>
    <xdr:to>
      <xdr:col>16</xdr:col>
      <xdr:colOff>45720</xdr:colOff>
      <xdr:row>65</xdr:row>
      <xdr:rowOff>22860</xdr:rowOff>
    </xdr:to>
    <xdr:graphicFrame macro="">
      <xdr:nvGraphicFramePr>
        <xdr:cNvPr id="10" name="Chart 9">
          <a:extLst>
            <a:ext uri="{FF2B5EF4-FFF2-40B4-BE49-F238E27FC236}">
              <a16:creationId xmlns:a16="http://schemas.microsoft.com/office/drawing/2014/main" id="{2DF1DEC3-46AB-2BD5-CDE9-7C5129BACD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2A62A-7447-4814-B82A-14650EDEEF88}">
  <sheetPr>
    <tabColor theme="6"/>
  </sheetPr>
  <dimension ref="A1:G24"/>
  <sheetViews>
    <sheetView workbookViewId="0">
      <selection activeCell="A20" sqref="A20:A24"/>
    </sheetView>
  </sheetViews>
  <sheetFormatPr defaultRowHeight="14.4"/>
  <cols>
    <col min="1" max="1" width="34.88671875" bestFit="1" customWidth="1"/>
    <col min="5" max="5" width="11.6640625" bestFit="1" customWidth="1"/>
  </cols>
  <sheetData>
    <row r="1" spans="1:7" ht="21">
      <c r="A1" s="97" t="s">
        <v>5</v>
      </c>
      <c r="B1" s="97"/>
      <c r="C1" s="97"/>
      <c r="D1" s="97"/>
      <c r="E1" s="97"/>
      <c r="F1" s="97"/>
      <c r="G1" s="97"/>
    </row>
    <row r="3" spans="1:7" ht="21">
      <c r="A3" s="96" t="s">
        <v>6</v>
      </c>
      <c r="B3" s="96"/>
    </row>
    <row r="4" spans="1:7">
      <c r="A4" s="4" t="s">
        <v>0</v>
      </c>
      <c r="B4" s="1">
        <v>500000</v>
      </c>
    </row>
    <row r="5" spans="1:7">
      <c r="A5" s="4" t="s">
        <v>1</v>
      </c>
      <c r="B5" s="1">
        <v>310000</v>
      </c>
    </row>
    <row r="6" spans="1:7">
      <c r="A6" s="4" t="s">
        <v>13</v>
      </c>
      <c r="B6" s="1">
        <v>311000</v>
      </c>
    </row>
    <row r="7" spans="1:7">
      <c r="A7" s="4" t="s">
        <v>2</v>
      </c>
      <c r="B7" s="1">
        <v>300000</v>
      </c>
    </row>
    <row r="8" spans="1:7">
      <c r="A8" s="4" t="s">
        <v>3</v>
      </c>
      <c r="B8" s="2">
        <v>0.1</v>
      </c>
    </row>
    <row r="10" spans="1:7" ht="18">
      <c r="A10" s="3" t="s">
        <v>4</v>
      </c>
      <c r="B10" s="3">
        <v>0</v>
      </c>
      <c r="C10" s="3">
        <v>1</v>
      </c>
      <c r="D10" s="3">
        <v>2</v>
      </c>
      <c r="E10" s="3">
        <v>3</v>
      </c>
    </row>
    <row r="11" spans="1:7">
      <c r="A11" s="4" t="s">
        <v>14</v>
      </c>
      <c r="B11" s="1">
        <f>+B4</f>
        <v>500000</v>
      </c>
      <c r="C11" s="1">
        <f>+B5</f>
        <v>310000</v>
      </c>
      <c r="D11" s="1">
        <f>+B5</f>
        <v>310000</v>
      </c>
      <c r="E11" s="1">
        <f>+B5</f>
        <v>310000</v>
      </c>
    </row>
    <row r="12" spans="1:7">
      <c r="A12" s="4" t="s">
        <v>7</v>
      </c>
      <c r="B12" s="1">
        <v>0</v>
      </c>
      <c r="C12" s="1">
        <f>-B6</f>
        <v>-311000</v>
      </c>
      <c r="D12" s="1">
        <f>-B6</f>
        <v>-311000</v>
      </c>
      <c r="E12" s="1">
        <f>-B6</f>
        <v>-311000</v>
      </c>
    </row>
    <row r="13" spans="1:7">
      <c r="A13" s="4" t="s">
        <v>8</v>
      </c>
      <c r="B13" s="1">
        <f>-B7</f>
        <v>-300000</v>
      </c>
      <c r="C13" s="1">
        <v>0</v>
      </c>
      <c r="D13" s="1">
        <v>0</v>
      </c>
      <c r="E13" s="1">
        <v>0</v>
      </c>
    </row>
    <row r="14" spans="1:7">
      <c r="A14" s="4" t="s">
        <v>9</v>
      </c>
      <c r="B14" s="1">
        <f>SUM(B11:B13)</f>
        <v>200000</v>
      </c>
      <c r="C14" s="1">
        <f>SUM(C11:C13)</f>
        <v>-1000</v>
      </c>
      <c r="D14" s="1">
        <f>SUM(D11:D13)</f>
        <v>-1000</v>
      </c>
      <c r="E14" s="1">
        <f>SUM(E11:E13)</f>
        <v>-1000</v>
      </c>
    </row>
    <row r="15" spans="1:7">
      <c r="A15" s="4" t="s">
        <v>10</v>
      </c>
      <c r="B15" s="1">
        <f>1/(1+$B$8)^B10</f>
        <v>1</v>
      </c>
      <c r="C15" s="1">
        <f>1/(1+$B$8)^C10</f>
        <v>0.90909090909090906</v>
      </c>
      <c r="D15" s="1">
        <f>1/(1+$B$8)^D10</f>
        <v>0.82644628099173545</v>
      </c>
      <c r="E15" s="1">
        <f>1/(1+$B$8)^E10</f>
        <v>0.75131480090157754</v>
      </c>
    </row>
    <row r="16" spans="1:7">
      <c r="A16" s="4" t="s">
        <v>11</v>
      </c>
      <c r="B16" s="1">
        <f>B14*B15</f>
        <v>200000</v>
      </c>
      <c r="C16" s="1">
        <f>C14*C15</f>
        <v>-909.09090909090901</v>
      </c>
      <c r="D16" s="1">
        <f>D14*D15</f>
        <v>-826.44628099173542</v>
      </c>
      <c r="E16" s="1">
        <f>E14*E15</f>
        <v>-751.31480090157754</v>
      </c>
    </row>
    <row r="18" spans="1:6" ht="21">
      <c r="A18" s="98" t="s">
        <v>12</v>
      </c>
      <c r="B18" s="98"/>
      <c r="C18" s="98"/>
      <c r="D18" s="98"/>
      <c r="E18" s="5">
        <f>SUM(B16:E16)</f>
        <v>197513.14800901577</v>
      </c>
    </row>
    <row r="20" spans="1:6" ht="14.4" customHeight="1">
      <c r="A20" s="100" t="s">
        <v>16</v>
      </c>
      <c r="B20" s="99" t="s">
        <v>15</v>
      </c>
      <c r="C20" s="99"/>
      <c r="D20" s="99"/>
      <c r="E20" s="99"/>
      <c r="F20" s="99"/>
    </row>
    <row r="21" spans="1:6" ht="14.4" customHeight="1">
      <c r="A21" s="100"/>
      <c r="B21" s="99"/>
      <c r="C21" s="99"/>
      <c r="D21" s="99"/>
      <c r="E21" s="99"/>
      <c r="F21" s="99"/>
    </row>
    <row r="22" spans="1:6" ht="14.4" customHeight="1">
      <c r="A22" s="100"/>
      <c r="B22" s="99"/>
      <c r="C22" s="99"/>
      <c r="D22" s="99"/>
      <c r="E22" s="99"/>
      <c r="F22" s="99"/>
    </row>
    <row r="23" spans="1:6">
      <c r="A23" s="100"/>
      <c r="B23" s="99"/>
      <c r="C23" s="99"/>
      <c r="D23" s="99"/>
      <c r="E23" s="99"/>
      <c r="F23" s="99"/>
    </row>
    <row r="24" spans="1:6">
      <c r="A24" s="100"/>
      <c r="B24" s="99"/>
      <c r="C24" s="99"/>
      <c r="D24" s="99"/>
      <c r="E24" s="99"/>
      <c r="F24" s="99"/>
    </row>
  </sheetData>
  <mergeCells count="5">
    <mergeCell ref="A3:B3"/>
    <mergeCell ref="A1:G1"/>
    <mergeCell ref="A18:D18"/>
    <mergeCell ref="B20:F24"/>
    <mergeCell ref="A20:A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19DED-527D-40DB-B18C-C0C201319A07}">
  <sheetPr>
    <tabColor theme="4" tint="-0.499984740745262"/>
  </sheetPr>
  <dimension ref="A1:L41"/>
  <sheetViews>
    <sheetView zoomScale="112" zoomScaleNormal="112" workbookViewId="0">
      <selection activeCell="E45" sqref="E45"/>
    </sheetView>
  </sheetViews>
  <sheetFormatPr defaultRowHeight="14.4"/>
  <cols>
    <col min="1" max="1" width="68.6640625" style="6" bestFit="1" customWidth="1"/>
    <col min="2" max="2" width="6.6640625" style="6" bestFit="1" customWidth="1"/>
    <col min="3" max="4" width="8.88671875" style="6"/>
    <col min="5" max="5" width="19.6640625" style="6" customWidth="1"/>
    <col min="6" max="6" width="5.5546875" style="6" customWidth="1"/>
    <col min="7" max="16384" width="8.88671875" style="6"/>
  </cols>
  <sheetData>
    <row r="1" spans="1:12" ht="21" customHeight="1">
      <c r="A1" s="130" t="s">
        <v>17</v>
      </c>
      <c r="B1" s="131"/>
      <c r="C1" s="131"/>
      <c r="D1" s="131"/>
      <c r="E1" s="131"/>
      <c r="F1" s="131"/>
      <c r="G1" s="131"/>
      <c r="H1" s="131"/>
      <c r="I1" s="131"/>
      <c r="J1" s="131"/>
      <c r="K1" s="131"/>
      <c r="L1" s="131"/>
    </row>
    <row r="2" spans="1:12" ht="21" customHeight="1" thickBot="1">
      <c r="A2" s="130"/>
      <c r="B2" s="131"/>
      <c r="C2" s="131"/>
      <c r="D2" s="131"/>
      <c r="E2" s="131"/>
      <c r="F2" s="131"/>
      <c r="G2" s="131"/>
      <c r="H2" s="131"/>
      <c r="I2" s="131"/>
      <c r="J2" s="131"/>
      <c r="K2" s="131"/>
      <c r="L2" s="131"/>
    </row>
    <row r="3" spans="1:12" ht="15.6" customHeight="1">
      <c r="A3" s="104" t="s">
        <v>39</v>
      </c>
      <c r="B3" s="105"/>
      <c r="C3" s="105"/>
      <c r="D3" s="105"/>
      <c r="E3" s="105"/>
      <c r="F3" s="125" t="s">
        <v>38</v>
      </c>
      <c r="G3" s="126"/>
      <c r="H3" s="126"/>
      <c r="I3" s="126"/>
      <c r="J3" s="126"/>
      <c r="K3" s="126"/>
      <c r="L3" s="127"/>
    </row>
    <row r="4" spans="1:12" ht="220.8" customHeight="1" thickBot="1">
      <c r="A4" s="106"/>
      <c r="B4" s="107"/>
      <c r="C4" s="107"/>
      <c r="D4" s="107"/>
      <c r="E4" s="107"/>
      <c r="F4" s="128"/>
      <c r="G4" s="107"/>
      <c r="H4" s="107"/>
      <c r="I4" s="107"/>
      <c r="J4" s="107"/>
      <c r="K4" s="107"/>
      <c r="L4" s="129"/>
    </row>
    <row r="5" spans="1:12" ht="15" thickBot="1">
      <c r="A5" s="101"/>
      <c r="B5" s="102"/>
      <c r="C5" s="102"/>
      <c r="D5" s="102"/>
      <c r="E5" s="102"/>
      <c r="F5" s="102"/>
      <c r="G5" s="102"/>
      <c r="H5" s="102"/>
      <c r="I5" s="102"/>
      <c r="J5" s="102"/>
      <c r="K5" s="102"/>
      <c r="L5" s="103"/>
    </row>
    <row r="6" spans="1:12" ht="23.4" customHeight="1">
      <c r="A6" s="132" t="s">
        <v>35</v>
      </c>
      <c r="B6" s="133"/>
      <c r="C6" s="133"/>
      <c r="D6" s="133"/>
      <c r="E6" s="133"/>
      <c r="F6" s="133"/>
      <c r="G6" s="133"/>
      <c r="H6" s="133"/>
      <c r="I6" s="133"/>
      <c r="J6" s="133"/>
      <c r="K6" s="133"/>
      <c r="L6" s="133"/>
    </row>
    <row r="7" spans="1:12" ht="14.4" customHeight="1" thickBot="1">
      <c r="A7" s="132"/>
      <c r="B7" s="133"/>
      <c r="C7" s="133"/>
      <c r="D7" s="133"/>
      <c r="E7" s="133"/>
      <c r="F7" s="133"/>
      <c r="G7" s="133"/>
      <c r="H7" s="133"/>
      <c r="I7" s="133"/>
      <c r="J7" s="133"/>
      <c r="K7" s="133"/>
      <c r="L7" s="133"/>
    </row>
    <row r="8" spans="1:12" ht="15" thickBot="1">
      <c r="A8" s="101"/>
      <c r="B8" s="102"/>
      <c r="C8" s="102"/>
      <c r="D8" s="102"/>
      <c r="E8" s="102"/>
      <c r="F8" s="102"/>
      <c r="G8" s="102"/>
      <c r="H8" s="102"/>
      <c r="I8" s="102"/>
      <c r="J8" s="102"/>
      <c r="K8" s="102"/>
      <c r="L8" s="103"/>
    </row>
    <row r="9" spans="1:12" ht="14.4" customHeight="1" thickBot="1">
      <c r="A9" s="20"/>
      <c r="B9" s="21"/>
      <c r="C9" s="21"/>
      <c r="D9" s="21"/>
      <c r="E9" s="21"/>
      <c r="F9" s="21"/>
      <c r="G9" s="106" t="s">
        <v>40</v>
      </c>
      <c r="H9" s="107"/>
      <c r="I9" s="107"/>
      <c r="J9" s="107"/>
      <c r="K9" s="107"/>
      <c r="L9" s="107"/>
    </row>
    <row r="10" spans="1:12" ht="14.4" customHeight="1">
      <c r="A10" s="121" t="s">
        <v>6</v>
      </c>
      <c r="B10" s="122"/>
      <c r="C10" s="21"/>
      <c r="D10" s="21"/>
      <c r="E10" s="21"/>
      <c r="F10" s="21"/>
      <c r="G10" s="106"/>
      <c r="H10" s="107"/>
      <c r="I10" s="107"/>
      <c r="J10" s="107"/>
      <c r="K10" s="107"/>
      <c r="L10" s="107"/>
    </row>
    <row r="11" spans="1:12" ht="14.4" customHeight="1">
      <c r="A11" s="8" t="s">
        <v>18</v>
      </c>
      <c r="B11" s="9">
        <v>50</v>
      </c>
      <c r="C11" s="21"/>
      <c r="D11" s="21"/>
      <c r="E11" s="21"/>
      <c r="F11" s="21"/>
      <c r="G11" s="106"/>
      <c r="H11" s="107"/>
      <c r="I11" s="107"/>
      <c r="J11" s="107"/>
      <c r="K11" s="107"/>
      <c r="L11" s="107"/>
    </row>
    <row r="12" spans="1:12" ht="14.4" customHeight="1">
      <c r="A12" s="8" t="s">
        <v>19</v>
      </c>
      <c r="B12" s="9">
        <v>720</v>
      </c>
      <c r="C12" s="21"/>
      <c r="D12" s="21"/>
      <c r="E12" s="21"/>
      <c r="F12" s="21"/>
      <c r="G12" s="106"/>
      <c r="H12" s="107"/>
      <c r="I12" s="107"/>
      <c r="J12" s="107"/>
      <c r="K12" s="107"/>
      <c r="L12" s="107"/>
    </row>
    <row r="13" spans="1:12" ht="14.4" customHeight="1">
      <c r="A13" s="8" t="s">
        <v>20</v>
      </c>
      <c r="B13" s="9">
        <v>0.12</v>
      </c>
      <c r="C13" s="21"/>
      <c r="D13" s="21"/>
      <c r="E13" s="21"/>
      <c r="F13" s="21"/>
      <c r="G13" s="106"/>
      <c r="H13" s="107"/>
      <c r="I13" s="107"/>
      <c r="J13" s="107"/>
      <c r="K13" s="107"/>
      <c r="L13" s="107"/>
    </row>
    <row r="14" spans="1:12" ht="14.4" customHeight="1">
      <c r="A14" s="8" t="s">
        <v>21</v>
      </c>
      <c r="B14" s="9">
        <v>0.08</v>
      </c>
      <c r="C14" s="21"/>
      <c r="D14" s="21"/>
      <c r="E14" s="21"/>
      <c r="F14" s="21"/>
      <c r="G14" s="106"/>
      <c r="H14" s="107"/>
      <c r="I14" s="107"/>
      <c r="J14" s="107"/>
      <c r="K14" s="107"/>
      <c r="L14" s="107"/>
    </row>
    <row r="15" spans="1:12" ht="14.4" customHeight="1">
      <c r="A15" s="8" t="s">
        <v>22</v>
      </c>
      <c r="B15" s="9">
        <v>500</v>
      </c>
      <c r="C15" s="21"/>
      <c r="D15" s="21"/>
      <c r="E15" s="21"/>
      <c r="F15" s="21"/>
      <c r="G15" s="106"/>
      <c r="H15" s="107"/>
      <c r="I15" s="107"/>
      <c r="J15" s="107"/>
      <c r="K15" s="107"/>
      <c r="L15" s="107"/>
    </row>
    <row r="16" spans="1:12" ht="14.4" customHeight="1">
      <c r="A16" s="8" t="s">
        <v>23</v>
      </c>
      <c r="B16" s="9">
        <v>3</v>
      </c>
      <c r="C16" s="21"/>
      <c r="D16" s="21"/>
      <c r="E16" s="21"/>
      <c r="F16" s="21"/>
      <c r="G16" s="106"/>
      <c r="H16" s="107"/>
      <c r="I16" s="107"/>
      <c r="J16" s="107"/>
      <c r="K16" s="107"/>
      <c r="L16" s="107"/>
    </row>
    <row r="17" spans="1:12" ht="14.4" customHeight="1" thickBot="1">
      <c r="A17" s="10" t="s">
        <v>3</v>
      </c>
      <c r="B17" s="11">
        <v>0.1</v>
      </c>
      <c r="C17" s="21"/>
      <c r="D17" s="21"/>
      <c r="E17" s="21"/>
      <c r="F17" s="21"/>
      <c r="G17" s="106"/>
      <c r="H17" s="107"/>
      <c r="I17" s="107"/>
      <c r="J17" s="107"/>
      <c r="K17" s="107"/>
      <c r="L17" s="107"/>
    </row>
    <row r="18" spans="1:12" ht="14.4" customHeight="1" thickBot="1">
      <c r="A18" s="17"/>
      <c r="C18" s="21"/>
      <c r="D18" s="21"/>
      <c r="E18" s="21"/>
      <c r="F18" s="21"/>
      <c r="G18" s="106"/>
      <c r="H18" s="107"/>
      <c r="I18" s="107"/>
      <c r="J18" s="107"/>
      <c r="K18" s="107"/>
      <c r="L18" s="107"/>
    </row>
    <row r="19" spans="1:12" ht="14.4" customHeight="1">
      <c r="A19" s="121" t="s">
        <v>24</v>
      </c>
      <c r="B19" s="122"/>
      <c r="C19" s="21"/>
      <c r="D19" s="21"/>
      <c r="E19" s="21"/>
      <c r="F19" s="21"/>
      <c r="G19" s="106"/>
      <c r="H19" s="107"/>
      <c r="I19" s="107"/>
      <c r="J19" s="107"/>
      <c r="K19" s="107"/>
      <c r="L19" s="107"/>
    </row>
    <row r="20" spans="1:12" ht="14.4" customHeight="1">
      <c r="A20" s="12" t="s">
        <v>37</v>
      </c>
      <c r="B20" s="57">
        <f>B12*12</f>
        <v>8640</v>
      </c>
      <c r="C20" s="21"/>
      <c r="D20" s="21"/>
      <c r="E20" s="21"/>
      <c r="F20" s="21"/>
      <c r="G20" s="106"/>
      <c r="H20" s="107"/>
      <c r="I20" s="107"/>
      <c r="J20" s="107"/>
      <c r="K20" s="107"/>
      <c r="L20" s="107"/>
    </row>
    <row r="21" spans="1:12" ht="14.4" customHeight="1">
      <c r="A21" s="12" t="s">
        <v>27</v>
      </c>
      <c r="B21" s="57">
        <f>B11*B20*B13</f>
        <v>51840</v>
      </c>
      <c r="C21" s="21"/>
      <c r="D21" s="21"/>
      <c r="E21" s="21"/>
      <c r="F21" s="21"/>
      <c r="G21" s="106"/>
      <c r="H21" s="107"/>
      <c r="I21" s="107"/>
      <c r="J21" s="107"/>
      <c r="K21" s="107"/>
      <c r="L21" s="107"/>
    </row>
    <row r="22" spans="1:12" ht="14.4" customHeight="1">
      <c r="A22" s="12" t="s">
        <v>28</v>
      </c>
      <c r="B22" s="57">
        <f>B11*B20*B14</f>
        <v>34560</v>
      </c>
      <c r="C22" s="21"/>
      <c r="D22" s="21"/>
      <c r="E22" s="21"/>
      <c r="F22" s="21"/>
      <c r="G22" s="106"/>
      <c r="H22" s="107"/>
      <c r="I22" s="107"/>
      <c r="J22" s="107"/>
      <c r="K22" s="107"/>
      <c r="L22" s="107"/>
    </row>
    <row r="23" spans="1:12" ht="14.4" customHeight="1" thickBot="1">
      <c r="A23" s="13" t="s">
        <v>29</v>
      </c>
      <c r="B23" s="57">
        <f>B11*B15</f>
        <v>25000</v>
      </c>
      <c r="C23" s="21"/>
      <c r="D23" s="21"/>
      <c r="E23" s="21"/>
      <c r="F23" s="21"/>
      <c r="G23" s="106"/>
      <c r="H23" s="107"/>
      <c r="I23" s="107"/>
      <c r="J23" s="107"/>
      <c r="K23" s="107"/>
      <c r="L23" s="107"/>
    </row>
    <row r="24" spans="1:12" ht="14.4" customHeight="1" thickBot="1">
      <c r="A24" s="20"/>
      <c r="B24" s="21"/>
      <c r="C24" s="21"/>
      <c r="D24" s="21"/>
      <c r="E24" s="21"/>
      <c r="F24" s="21"/>
      <c r="G24" s="101"/>
      <c r="H24" s="102"/>
      <c r="I24" s="102"/>
      <c r="J24" s="102"/>
      <c r="K24" s="102"/>
      <c r="L24" s="103"/>
    </row>
    <row r="25" spans="1:12" ht="15.6" customHeight="1">
      <c r="A25" s="14" t="s">
        <v>4</v>
      </c>
      <c r="B25" s="15">
        <v>0</v>
      </c>
      <c r="C25" s="15">
        <v>1</v>
      </c>
      <c r="D25" s="15">
        <v>2</v>
      </c>
      <c r="E25" s="16">
        <v>3</v>
      </c>
      <c r="F25" s="21"/>
      <c r="G25" s="123" t="s">
        <v>34</v>
      </c>
      <c r="H25" s="124"/>
      <c r="I25" s="124"/>
      <c r="J25" s="124"/>
      <c r="K25" s="124"/>
      <c r="L25" s="124"/>
    </row>
    <row r="26" spans="1:12" ht="14.4" customHeight="1">
      <c r="A26" s="8" t="s">
        <v>25</v>
      </c>
      <c r="B26" s="42">
        <v>0</v>
      </c>
      <c r="C26" s="59">
        <f>-$B$21</f>
        <v>-51840</v>
      </c>
      <c r="D26" s="60">
        <f>-$B$21</f>
        <v>-51840</v>
      </c>
      <c r="E26" s="59">
        <f>-$B$21</f>
        <v>-51840</v>
      </c>
      <c r="F26" s="21"/>
      <c r="G26" s="123"/>
      <c r="H26" s="124"/>
      <c r="I26" s="124"/>
      <c r="J26" s="124"/>
      <c r="K26" s="124"/>
      <c r="L26" s="124"/>
    </row>
    <row r="27" spans="1:12" ht="14.4" customHeight="1">
      <c r="A27" s="8" t="s">
        <v>26</v>
      </c>
      <c r="B27" s="42">
        <v>0</v>
      </c>
      <c r="C27" s="59">
        <f>$B$22</f>
        <v>34560</v>
      </c>
      <c r="D27" s="60">
        <f t="shared" ref="D27:E27" si="0">$B$22</f>
        <v>34560</v>
      </c>
      <c r="E27" s="59">
        <f t="shared" si="0"/>
        <v>34560</v>
      </c>
      <c r="F27" s="21"/>
      <c r="G27" s="123"/>
      <c r="H27" s="124"/>
      <c r="I27" s="124"/>
      <c r="J27" s="124"/>
      <c r="K27" s="124"/>
      <c r="L27" s="124"/>
    </row>
    <row r="28" spans="1:12" ht="14.4" customHeight="1">
      <c r="A28" s="8" t="s">
        <v>30</v>
      </c>
      <c r="B28" s="59">
        <f>$B$23</f>
        <v>25000</v>
      </c>
      <c r="C28" s="42">
        <v>0</v>
      </c>
      <c r="D28" s="42">
        <v>0</v>
      </c>
      <c r="E28" s="61">
        <v>0</v>
      </c>
      <c r="F28" s="21"/>
      <c r="G28" s="123"/>
      <c r="H28" s="124"/>
      <c r="I28" s="124"/>
      <c r="J28" s="124"/>
      <c r="K28" s="124"/>
      <c r="L28" s="124"/>
    </row>
    <row r="29" spans="1:12" ht="14.4" customHeight="1">
      <c r="A29" s="8" t="s">
        <v>31</v>
      </c>
      <c r="B29" s="59">
        <f>B28+B27</f>
        <v>25000</v>
      </c>
      <c r="C29" s="59">
        <f t="shared" ref="C29:E29" si="1">C28+C27</f>
        <v>34560</v>
      </c>
      <c r="D29" s="60">
        <f t="shared" si="1"/>
        <v>34560</v>
      </c>
      <c r="E29" s="59">
        <f t="shared" si="1"/>
        <v>34560</v>
      </c>
      <c r="F29" s="21"/>
      <c r="G29" s="123"/>
      <c r="H29" s="124"/>
      <c r="I29" s="124"/>
      <c r="J29" s="124"/>
      <c r="K29" s="124"/>
      <c r="L29" s="124"/>
    </row>
    <row r="30" spans="1:12" ht="14.4" customHeight="1">
      <c r="A30" s="8" t="s">
        <v>32</v>
      </c>
      <c r="B30" s="59">
        <f>-B28</f>
        <v>-25000</v>
      </c>
      <c r="C30" s="59">
        <f>-C26-C27</f>
        <v>17280</v>
      </c>
      <c r="D30" s="59">
        <f t="shared" ref="D30:E30" si="2">-D26-D27</f>
        <v>17280</v>
      </c>
      <c r="E30" s="59">
        <f t="shared" si="2"/>
        <v>17280</v>
      </c>
      <c r="F30" s="21"/>
      <c r="G30" s="123"/>
      <c r="H30" s="124"/>
      <c r="I30" s="124"/>
      <c r="J30" s="124"/>
      <c r="K30" s="124"/>
      <c r="L30" s="124"/>
    </row>
    <row r="31" spans="1:12" ht="14.4" customHeight="1">
      <c r="A31" s="8" t="s">
        <v>10</v>
      </c>
      <c r="B31" s="42">
        <f>1/(1+$B$17)^B25</f>
        <v>1</v>
      </c>
      <c r="C31" s="62">
        <f>1/(1+$B$17)^C25</f>
        <v>0.90909090909090906</v>
      </c>
      <c r="D31" s="62">
        <f>1/(1+$B$17)^D25</f>
        <v>0.82644628099173545</v>
      </c>
      <c r="E31" s="62">
        <f>1/(1+$B$17)^E25</f>
        <v>0.75131480090157754</v>
      </c>
      <c r="F31" s="21"/>
      <c r="G31" s="123"/>
      <c r="H31" s="124"/>
      <c r="I31" s="124"/>
      <c r="J31" s="124"/>
      <c r="K31" s="124"/>
      <c r="L31" s="124"/>
    </row>
    <row r="32" spans="1:12" ht="14.4" customHeight="1" thickBot="1">
      <c r="A32" s="10" t="s">
        <v>11</v>
      </c>
      <c r="B32" s="59">
        <f>B30*B31</f>
        <v>-25000</v>
      </c>
      <c r="C32" s="59">
        <f>C30*C31</f>
        <v>15709.090909090908</v>
      </c>
      <c r="D32" s="59">
        <f>D30*D31</f>
        <v>14280.991735537189</v>
      </c>
      <c r="E32" s="59">
        <f>E30*E31</f>
        <v>12982.71975957926</v>
      </c>
      <c r="F32" s="21"/>
      <c r="G32" s="123"/>
      <c r="H32" s="124"/>
      <c r="I32" s="124"/>
      <c r="J32" s="124"/>
      <c r="K32" s="124"/>
      <c r="L32" s="124"/>
    </row>
    <row r="33" spans="1:12" ht="14.4" customHeight="1" thickBot="1">
      <c r="A33" s="20"/>
      <c r="B33" s="21"/>
      <c r="C33" s="21"/>
      <c r="D33" s="21"/>
      <c r="E33" s="21"/>
      <c r="F33" s="21"/>
      <c r="G33" s="123"/>
      <c r="H33" s="124"/>
      <c r="I33" s="124"/>
      <c r="J33" s="124"/>
      <c r="K33" s="124"/>
      <c r="L33" s="124"/>
    </row>
    <row r="34" spans="1:12" ht="15.6" customHeight="1">
      <c r="A34" s="114" t="s">
        <v>33</v>
      </c>
      <c r="B34" s="108">
        <f>SUM($B32:$E32)</f>
        <v>17972.802404207359</v>
      </c>
      <c r="C34" s="109"/>
      <c r="D34" s="109"/>
      <c r="E34" s="110"/>
      <c r="F34" s="21"/>
      <c r="G34" s="123"/>
      <c r="H34" s="124"/>
      <c r="I34" s="124"/>
      <c r="J34" s="124"/>
      <c r="K34" s="124"/>
      <c r="L34" s="124"/>
    </row>
    <row r="35" spans="1:12" ht="14.4" customHeight="1" thickBot="1">
      <c r="A35" s="115"/>
      <c r="B35" s="111"/>
      <c r="C35" s="112"/>
      <c r="D35" s="112"/>
      <c r="E35" s="113"/>
      <c r="F35" s="21"/>
      <c r="G35" s="123"/>
      <c r="H35" s="124"/>
      <c r="I35" s="124"/>
      <c r="J35" s="124"/>
      <c r="K35" s="124"/>
      <c r="L35" s="124"/>
    </row>
    <row r="36" spans="1:12" ht="14.4" customHeight="1" thickBot="1">
      <c r="A36" s="20"/>
      <c r="B36" s="21"/>
      <c r="C36" s="21"/>
      <c r="D36" s="21"/>
      <c r="E36" s="21"/>
      <c r="F36" s="21"/>
      <c r="G36" s="123"/>
      <c r="H36" s="124"/>
      <c r="I36" s="124"/>
      <c r="J36" s="124"/>
      <c r="K36" s="124"/>
      <c r="L36" s="124"/>
    </row>
    <row r="37" spans="1:12" ht="14.4" customHeight="1">
      <c r="A37" s="104" t="s">
        <v>36</v>
      </c>
      <c r="B37" s="105"/>
      <c r="C37" s="105"/>
      <c r="D37" s="105"/>
      <c r="E37" s="116"/>
      <c r="F37" s="21"/>
      <c r="G37" s="123"/>
      <c r="H37" s="124"/>
      <c r="I37" s="124"/>
      <c r="J37" s="124"/>
      <c r="K37" s="124"/>
      <c r="L37" s="124"/>
    </row>
    <row r="38" spans="1:12" ht="14.4" customHeight="1">
      <c r="A38" s="106"/>
      <c r="B38" s="107"/>
      <c r="C38" s="107"/>
      <c r="D38" s="107"/>
      <c r="E38" s="117"/>
      <c r="F38" s="21"/>
      <c r="G38" s="123"/>
      <c r="H38" s="124"/>
      <c r="I38" s="124"/>
      <c r="J38" s="124"/>
      <c r="K38" s="124"/>
      <c r="L38" s="124"/>
    </row>
    <row r="39" spans="1:12" ht="14.4" customHeight="1" thickBot="1">
      <c r="A39" s="118"/>
      <c r="B39" s="119"/>
      <c r="C39" s="119"/>
      <c r="D39" s="119"/>
      <c r="E39" s="120"/>
      <c r="F39" s="23"/>
      <c r="G39" s="123"/>
      <c r="H39" s="124"/>
      <c r="I39" s="124"/>
      <c r="J39" s="124"/>
      <c r="K39" s="124"/>
      <c r="L39" s="124"/>
    </row>
    <row r="40" spans="1:12" ht="14.4" customHeight="1"/>
    <row r="41" spans="1:12" ht="14.4" customHeight="1"/>
  </sheetData>
  <mergeCells count="14">
    <mergeCell ref="A1:L2"/>
    <mergeCell ref="A6:L7"/>
    <mergeCell ref="A37:E39"/>
    <mergeCell ref="A10:B10"/>
    <mergeCell ref="A19:B19"/>
    <mergeCell ref="G25:L39"/>
    <mergeCell ref="G9:L23"/>
    <mergeCell ref="A5:L5"/>
    <mergeCell ref="G24:L24"/>
    <mergeCell ref="A8:L8"/>
    <mergeCell ref="A3:E4"/>
    <mergeCell ref="B34:E35"/>
    <mergeCell ref="A34:A35"/>
    <mergeCell ref="F3:L4"/>
  </mergeCells>
  <conditionalFormatting sqref="B20:B23">
    <cfRule type="containsText" dxfId="32" priority="1" operator="containsText" text="Active-Active">
      <formula>NOT(ISERROR(SEARCH("Active-Active",B20)))</formula>
    </cfRule>
    <cfRule type="containsText" dxfId="31" priority="2" operator="containsText" text="Active-Passive">
      <formula>NOT(ISERROR(SEARCH("Active-Passive",B20)))</formula>
    </cfRule>
  </conditionalFormatting>
  <conditionalFormatting sqref="B28:B30">
    <cfRule type="containsText" dxfId="30" priority="5" operator="containsText" text="Active-Active">
      <formula>NOT(ISERROR(SEARCH("Active-Active",B28)))</formula>
    </cfRule>
    <cfRule type="containsText" dxfId="29" priority="6" operator="containsText" text="Active-Passive">
      <formula>NOT(ISERROR(SEARCH("Active-Passive",B28)))</formula>
    </cfRule>
  </conditionalFormatting>
  <conditionalFormatting sqref="B32">
    <cfRule type="containsText" dxfId="28" priority="3" operator="containsText" text="Active-Active">
      <formula>NOT(ISERROR(SEARCH("Active-Active",B32)))</formula>
    </cfRule>
    <cfRule type="containsText" dxfId="27" priority="4" operator="containsText" text="Active-Passive">
      <formula>NOT(ISERROR(SEARCH("Active-Passive",B32)))</formula>
    </cfRule>
  </conditionalFormatting>
  <conditionalFormatting sqref="C26:C27">
    <cfRule type="containsText" dxfId="26" priority="17" operator="containsText" text="Active-Active">
      <formula>NOT(ISERROR(SEARCH("Active-Active",C26)))</formula>
    </cfRule>
    <cfRule type="containsText" dxfId="25" priority="18" operator="containsText" text="Active-Passive">
      <formula>NOT(ISERROR(SEARCH("Active-Passive",C26)))</formula>
    </cfRule>
  </conditionalFormatting>
  <conditionalFormatting sqref="C29:C32">
    <cfRule type="containsText" dxfId="24" priority="15" operator="containsText" text="Active-Active">
      <formula>NOT(ISERROR(SEARCH("Active-Active",C29)))</formula>
    </cfRule>
    <cfRule type="containsText" dxfId="23" priority="16" operator="containsText" text="Active-Passive">
      <formula>NOT(ISERROR(SEARCH("Active-Passive",C29)))</formula>
    </cfRule>
  </conditionalFormatting>
  <conditionalFormatting sqref="D30">
    <cfRule type="containsText" dxfId="22" priority="13" operator="containsText" text="Active-Active">
      <formula>NOT(ISERROR(SEARCH("Active-Active",D30)))</formula>
    </cfRule>
    <cfRule type="containsText" dxfId="21" priority="14" operator="containsText" text="Active-Passive">
      <formula>NOT(ISERROR(SEARCH("Active-Passive",D30)))</formula>
    </cfRule>
  </conditionalFormatting>
  <conditionalFormatting sqref="D32:E32">
    <cfRule type="containsText" dxfId="20" priority="11" operator="containsText" text="Active-Active">
      <formula>NOT(ISERROR(SEARCH("Active-Active",D32)))</formula>
    </cfRule>
    <cfRule type="containsText" dxfId="19" priority="12" operator="containsText" text="Active-Passive">
      <formula>NOT(ISERROR(SEARCH("Active-Passive",D32)))</formula>
    </cfRule>
  </conditionalFormatting>
  <conditionalFormatting sqref="E26:E27">
    <cfRule type="containsText" dxfId="18" priority="9" operator="containsText" text="Active-Active">
      <formula>NOT(ISERROR(SEARCH("Active-Active",E26)))</formula>
    </cfRule>
    <cfRule type="containsText" dxfId="17" priority="10" operator="containsText" text="Active-Passive">
      <formula>NOT(ISERROR(SEARCH("Active-Passive",E26)))</formula>
    </cfRule>
  </conditionalFormatting>
  <conditionalFormatting sqref="E29:E30">
    <cfRule type="containsText" dxfId="16" priority="7" operator="containsText" text="Active-Active">
      <formula>NOT(ISERROR(SEARCH("Active-Active",E29)))</formula>
    </cfRule>
    <cfRule type="containsText" dxfId="15" priority="8" operator="containsText" text="Active-Passive">
      <formula>NOT(ISERROR(SEARCH("Active-Passive",E29)))</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4294E-40C8-43FD-B0C0-BE5F589B88E8}">
  <sheetPr>
    <tabColor theme="8" tint="-0.499984740745262"/>
  </sheetPr>
  <dimension ref="A1:X50"/>
  <sheetViews>
    <sheetView topLeftCell="A2" zoomScale="76" zoomScaleNormal="76" workbookViewId="0">
      <selection activeCell="E28" sqref="E28"/>
    </sheetView>
  </sheetViews>
  <sheetFormatPr defaultRowHeight="14.4"/>
  <cols>
    <col min="1" max="1" width="68.6640625" style="6" bestFit="1" customWidth="1"/>
    <col min="2" max="2" width="16.109375" style="6" bestFit="1" customWidth="1"/>
    <col min="3" max="3" width="8.88671875" style="6"/>
    <col min="4" max="4" width="15.77734375" style="6" bestFit="1" customWidth="1"/>
    <col min="5" max="5" width="22.109375" style="6" bestFit="1" customWidth="1"/>
    <col min="6" max="6" width="5.5546875" style="6" customWidth="1"/>
    <col min="7" max="16384" width="8.88671875" style="6"/>
  </cols>
  <sheetData>
    <row r="1" spans="1:24" ht="21" customHeight="1">
      <c r="A1" s="147" t="s">
        <v>41</v>
      </c>
      <c r="B1" s="148"/>
      <c r="C1" s="148"/>
      <c r="D1" s="148"/>
      <c r="E1" s="148"/>
      <c r="F1" s="148"/>
      <c r="G1" s="148"/>
      <c r="H1" s="148"/>
      <c r="I1" s="148"/>
      <c r="J1" s="148"/>
      <c r="K1" s="148"/>
      <c r="L1" s="148"/>
      <c r="M1" s="148"/>
      <c r="N1" s="148"/>
      <c r="O1" s="148"/>
      <c r="P1" s="148"/>
      <c r="Q1" s="148"/>
      <c r="R1" s="148"/>
      <c r="S1" s="148"/>
      <c r="T1" s="148"/>
      <c r="U1" s="148"/>
      <c r="V1" s="148"/>
      <c r="W1" s="148"/>
      <c r="X1" s="148"/>
    </row>
    <row r="2" spans="1:24" ht="21" customHeight="1" thickBot="1">
      <c r="A2" s="147"/>
      <c r="B2" s="148"/>
      <c r="C2" s="148"/>
      <c r="D2" s="148"/>
      <c r="E2" s="148"/>
      <c r="F2" s="148"/>
      <c r="G2" s="148"/>
      <c r="H2" s="148"/>
      <c r="I2" s="148"/>
      <c r="J2" s="148"/>
      <c r="K2" s="148"/>
      <c r="L2" s="148"/>
      <c r="M2" s="148"/>
      <c r="N2" s="148"/>
      <c r="O2" s="148"/>
      <c r="P2" s="148"/>
      <c r="Q2" s="148"/>
      <c r="R2" s="148"/>
      <c r="S2" s="148"/>
      <c r="T2" s="148"/>
      <c r="U2" s="148"/>
      <c r="V2" s="148"/>
      <c r="W2" s="148"/>
      <c r="X2" s="148"/>
    </row>
    <row r="3" spans="1:24" ht="15.6" customHeight="1">
      <c r="A3" s="136" t="s">
        <v>49</v>
      </c>
      <c r="B3" s="137"/>
      <c r="C3" s="137"/>
      <c r="D3" s="137"/>
      <c r="E3" s="137"/>
      <c r="F3" s="137"/>
      <c r="G3" s="137"/>
      <c r="H3" s="137"/>
      <c r="I3" s="137"/>
      <c r="J3" s="137"/>
      <c r="K3" s="137"/>
      <c r="L3" s="137"/>
      <c r="M3" s="137"/>
      <c r="N3" s="137"/>
      <c r="O3" s="137"/>
      <c r="P3" s="138"/>
      <c r="R3" s="136" t="s">
        <v>50</v>
      </c>
      <c r="S3" s="137"/>
      <c r="T3" s="137"/>
      <c r="U3" s="137"/>
      <c r="V3" s="137"/>
      <c r="W3" s="137"/>
      <c r="X3" s="138"/>
    </row>
    <row r="4" spans="1:24" ht="220.8" customHeight="1">
      <c r="A4" s="139"/>
      <c r="B4" s="140"/>
      <c r="C4" s="140"/>
      <c r="D4" s="140"/>
      <c r="E4" s="140"/>
      <c r="F4" s="140"/>
      <c r="G4" s="140"/>
      <c r="H4" s="140"/>
      <c r="I4" s="140"/>
      <c r="J4" s="140"/>
      <c r="K4" s="140"/>
      <c r="L4" s="140"/>
      <c r="M4" s="140"/>
      <c r="N4" s="140"/>
      <c r="O4" s="140"/>
      <c r="P4" s="141"/>
      <c r="R4" s="139"/>
      <c r="S4" s="140"/>
      <c r="T4" s="140"/>
      <c r="U4" s="140"/>
      <c r="V4" s="140"/>
      <c r="W4" s="140"/>
      <c r="X4" s="141"/>
    </row>
    <row r="5" spans="1:24" customFormat="1" ht="15" customHeight="1">
      <c r="A5" s="139"/>
      <c r="B5" s="140"/>
      <c r="C5" s="140"/>
      <c r="D5" s="140"/>
      <c r="E5" s="140"/>
      <c r="F5" s="140"/>
      <c r="G5" s="140"/>
      <c r="H5" s="140"/>
      <c r="I5" s="140"/>
      <c r="J5" s="140"/>
      <c r="K5" s="140"/>
      <c r="L5" s="140"/>
      <c r="M5" s="140"/>
      <c r="N5" s="140"/>
      <c r="O5" s="140"/>
      <c r="P5" s="141"/>
      <c r="R5" s="139"/>
      <c r="S5" s="140"/>
      <c r="T5" s="140"/>
      <c r="U5" s="140"/>
      <c r="V5" s="140"/>
      <c r="W5" s="140"/>
      <c r="X5" s="141"/>
    </row>
    <row r="6" spans="1:24" customFormat="1" ht="58.8" customHeight="1" thickBot="1">
      <c r="A6" s="142"/>
      <c r="B6" s="143"/>
      <c r="C6" s="143"/>
      <c r="D6" s="143"/>
      <c r="E6" s="143"/>
      <c r="F6" s="143"/>
      <c r="G6" s="143"/>
      <c r="H6" s="143"/>
      <c r="I6" s="143"/>
      <c r="J6" s="143"/>
      <c r="K6" s="143"/>
      <c r="L6" s="143"/>
      <c r="M6" s="143"/>
      <c r="N6" s="143"/>
      <c r="O6" s="143"/>
      <c r="P6" s="144"/>
      <c r="R6" s="142"/>
      <c r="S6" s="143"/>
      <c r="T6" s="143"/>
      <c r="U6" s="143"/>
      <c r="V6" s="143"/>
      <c r="W6" s="143"/>
      <c r="X6" s="144"/>
    </row>
    <row r="7" spans="1:24" customFormat="1" ht="15.6">
      <c r="A7" s="38"/>
      <c r="B7" s="39"/>
      <c r="C7" s="39"/>
      <c r="D7" s="39"/>
      <c r="E7" s="39"/>
      <c r="F7" s="39"/>
      <c r="G7" s="39"/>
      <c r="H7" s="39"/>
      <c r="I7" s="39"/>
      <c r="J7" s="39"/>
      <c r="K7" s="39"/>
      <c r="L7" s="6"/>
      <c r="M7" s="6"/>
    </row>
    <row r="8" spans="1:24" customFormat="1" ht="15.6">
      <c r="A8" s="38"/>
      <c r="B8" s="39"/>
      <c r="C8" s="39"/>
      <c r="D8" s="39"/>
      <c r="E8" s="39"/>
      <c r="F8" s="39"/>
      <c r="G8" s="39"/>
      <c r="H8" s="39"/>
      <c r="I8" s="39"/>
      <c r="J8" s="39"/>
      <c r="K8" s="39"/>
      <c r="L8" s="6"/>
      <c r="M8" s="6"/>
    </row>
    <row r="9" spans="1:24">
      <c r="A9" s="18"/>
      <c r="B9" s="19"/>
      <c r="C9" s="19"/>
      <c r="D9" s="19"/>
      <c r="E9" s="19"/>
      <c r="F9" s="19"/>
      <c r="G9" s="19"/>
      <c r="H9" s="19"/>
      <c r="I9" s="19"/>
      <c r="J9" s="19"/>
      <c r="K9" s="19"/>
      <c r="L9" s="21"/>
      <c r="M9" s="21"/>
    </row>
    <row r="10" spans="1:24" ht="23.4" customHeight="1">
      <c r="A10" s="145" t="s">
        <v>35</v>
      </c>
      <c r="B10" s="146"/>
      <c r="C10" s="146"/>
      <c r="D10" s="146"/>
      <c r="E10" s="146"/>
      <c r="F10" s="146"/>
      <c r="G10" s="146"/>
      <c r="H10" s="146"/>
      <c r="I10" s="146"/>
      <c r="J10" s="146"/>
      <c r="K10" s="146"/>
      <c r="L10" s="146"/>
      <c r="M10" s="146"/>
      <c r="N10" s="146"/>
      <c r="O10" s="146"/>
      <c r="P10" s="146"/>
      <c r="Q10" s="146"/>
      <c r="R10" s="146"/>
      <c r="S10" s="146"/>
      <c r="T10" s="146"/>
      <c r="U10" s="146"/>
      <c r="V10" s="146"/>
      <c r="W10" s="146"/>
      <c r="X10" s="146"/>
    </row>
    <row r="11" spans="1:24" ht="14.4" customHeight="1">
      <c r="A11" s="145"/>
      <c r="B11" s="146"/>
      <c r="C11" s="146"/>
      <c r="D11" s="146"/>
      <c r="E11" s="146"/>
      <c r="F11" s="146"/>
      <c r="G11" s="146"/>
      <c r="H11" s="146"/>
      <c r="I11" s="146"/>
      <c r="J11" s="146"/>
      <c r="K11" s="146"/>
      <c r="L11" s="146"/>
      <c r="M11" s="146"/>
      <c r="N11" s="146"/>
      <c r="O11" s="146"/>
      <c r="P11" s="146"/>
      <c r="Q11" s="146"/>
      <c r="R11" s="146"/>
      <c r="S11" s="146"/>
      <c r="T11" s="146"/>
      <c r="U11" s="146"/>
      <c r="V11" s="146"/>
      <c r="W11" s="146"/>
      <c r="X11" s="146"/>
    </row>
    <row r="12" spans="1:24" ht="15" thickBot="1">
      <c r="A12" s="20"/>
      <c r="B12" s="21"/>
      <c r="C12" s="21"/>
      <c r="D12" s="21"/>
      <c r="E12" s="21"/>
      <c r="F12" s="21"/>
      <c r="G12" s="21"/>
      <c r="H12" s="21"/>
      <c r="I12" s="21"/>
      <c r="J12" s="21"/>
      <c r="K12" s="22"/>
      <c r="L12" s="21"/>
      <c r="M12" s="21"/>
    </row>
    <row r="13" spans="1:24" ht="18.600000000000001" thickBot="1">
      <c r="A13" s="20"/>
      <c r="B13" s="21"/>
      <c r="C13" s="21"/>
      <c r="D13" s="149" t="s">
        <v>45</v>
      </c>
      <c r="E13" s="150"/>
      <c r="F13" s="21"/>
      <c r="T13" s="104" t="s">
        <v>47</v>
      </c>
      <c r="U13" s="105"/>
      <c r="V13" s="105"/>
      <c r="W13" s="105"/>
      <c r="X13" s="116"/>
    </row>
    <row r="14" spans="1:24" ht="18">
      <c r="A14" s="160" t="s">
        <v>6</v>
      </c>
      <c r="B14" s="161"/>
      <c r="C14" s="21"/>
      <c r="D14" s="31" t="s">
        <v>44</v>
      </c>
      <c r="E14" s="32" t="s">
        <v>12</v>
      </c>
      <c r="F14" s="21"/>
      <c r="T14" s="106"/>
      <c r="U14" s="107"/>
      <c r="V14" s="107"/>
      <c r="W14" s="107"/>
      <c r="X14" s="117"/>
    </row>
    <row r="15" spans="1:24" ht="18">
      <c r="A15" s="8" t="s">
        <v>18</v>
      </c>
      <c r="B15" s="9">
        <v>50</v>
      </c>
      <c r="C15" s="21"/>
      <c r="D15" s="29">
        <v>1</v>
      </c>
      <c r="E15" s="73">
        <f>B39</f>
        <v>17972.802404207359</v>
      </c>
      <c r="F15" s="21"/>
      <c r="T15" s="106"/>
      <c r="U15" s="107"/>
      <c r="V15" s="107"/>
      <c r="W15" s="107"/>
      <c r="X15" s="117"/>
    </row>
    <row r="16" spans="1:24" ht="18">
      <c r="A16" s="8" t="s">
        <v>19</v>
      </c>
      <c r="B16" s="9">
        <v>720</v>
      </c>
      <c r="C16" s="21"/>
      <c r="D16" s="29">
        <v>0.9</v>
      </c>
      <c r="E16" s="73">
        <f t="dataTable" ref="E16:E21" dt2D="0" dtr="0" r1="B22"/>
        <v>14481.893313298267</v>
      </c>
      <c r="F16" s="21"/>
      <c r="T16" s="106"/>
      <c r="U16" s="107"/>
      <c r="V16" s="107"/>
      <c r="W16" s="107"/>
      <c r="X16" s="117"/>
    </row>
    <row r="17" spans="1:24" ht="18">
      <c r="A17" s="8" t="s">
        <v>20</v>
      </c>
      <c r="B17" s="9">
        <v>0.12</v>
      </c>
      <c r="C17" s="21"/>
      <c r="D17" s="29">
        <v>0.8</v>
      </c>
      <c r="E17" s="73">
        <v>10118.256949661905</v>
      </c>
      <c r="F17" s="21"/>
      <c r="T17" s="106"/>
      <c r="U17" s="107"/>
      <c r="V17" s="107"/>
      <c r="W17" s="107"/>
      <c r="X17" s="117"/>
    </row>
    <row r="18" spans="1:24" ht="18">
      <c r="A18" s="8" t="s">
        <v>21</v>
      </c>
      <c r="B18" s="9">
        <v>0.08</v>
      </c>
      <c r="C18" s="21"/>
      <c r="D18" s="29">
        <v>0.7</v>
      </c>
      <c r="E18" s="73">
        <v>4507.867339272294</v>
      </c>
      <c r="F18" s="21"/>
      <c r="T18" s="106"/>
      <c r="U18" s="107"/>
      <c r="V18" s="107"/>
      <c r="W18" s="107"/>
      <c r="X18" s="117"/>
    </row>
    <row r="19" spans="1:24" ht="18">
      <c r="A19" s="8" t="s">
        <v>22</v>
      </c>
      <c r="B19" s="9">
        <v>500</v>
      </c>
      <c r="C19" s="21"/>
      <c r="D19" s="29">
        <v>0.6</v>
      </c>
      <c r="E19" s="73">
        <v>-2972.6521412471866</v>
      </c>
      <c r="F19" s="21"/>
      <c r="T19" s="106"/>
      <c r="U19" s="107"/>
      <c r="V19" s="107"/>
      <c r="W19" s="107"/>
      <c r="X19" s="117"/>
    </row>
    <row r="20" spans="1:24" ht="18">
      <c r="A20" s="8" t="s">
        <v>23</v>
      </c>
      <c r="B20" s="9">
        <v>3</v>
      </c>
      <c r="C20" s="21"/>
      <c r="D20" s="29">
        <v>0.5</v>
      </c>
      <c r="E20" s="73">
        <v>-13445.379413974464</v>
      </c>
      <c r="F20" s="21"/>
      <c r="T20" s="106"/>
      <c r="U20" s="107"/>
      <c r="V20" s="107"/>
      <c r="W20" s="107"/>
      <c r="X20" s="117"/>
    </row>
    <row r="21" spans="1:24" ht="18.600000000000001" thickBot="1">
      <c r="A21" s="10" t="s">
        <v>3</v>
      </c>
      <c r="B21" s="11">
        <v>0.1</v>
      </c>
      <c r="C21" s="21"/>
      <c r="D21" s="30">
        <v>0.4</v>
      </c>
      <c r="E21" s="74">
        <v>-29154.470323065369</v>
      </c>
      <c r="F21" s="21"/>
      <c r="T21" s="106"/>
      <c r="U21" s="107"/>
      <c r="V21" s="107"/>
      <c r="W21" s="107"/>
      <c r="X21" s="117"/>
    </row>
    <row r="22" spans="1:24" ht="14.4" customHeight="1">
      <c r="A22" s="25" t="s">
        <v>42</v>
      </c>
      <c r="B22" s="26">
        <v>1</v>
      </c>
      <c r="C22" s="21"/>
      <c r="D22" s="24"/>
      <c r="E22" s="21"/>
      <c r="F22" s="21"/>
      <c r="T22" s="106"/>
      <c r="U22" s="107"/>
      <c r="V22" s="107"/>
      <c r="W22" s="107"/>
      <c r="X22" s="117"/>
    </row>
    <row r="23" spans="1:24" ht="14.4" customHeight="1" thickBot="1">
      <c r="A23" s="17"/>
      <c r="C23" s="21"/>
      <c r="D23" s="21"/>
      <c r="E23" s="21"/>
      <c r="F23" s="21"/>
      <c r="T23" s="106"/>
      <c r="U23" s="107"/>
      <c r="V23" s="107"/>
      <c r="W23" s="107"/>
      <c r="X23" s="117"/>
    </row>
    <row r="24" spans="1:24" ht="14.4" customHeight="1" thickBot="1">
      <c r="A24" s="162" t="s">
        <v>24</v>
      </c>
      <c r="B24" s="163"/>
      <c r="C24" s="21"/>
      <c r="D24" s="21"/>
      <c r="E24" s="21"/>
      <c r="F24" s="21"/>
      <c r="T24" s="106"/>
      <c r="U24" s="107"/>
      <c r="V24" s="107"/>
      <c r="W24" s="107"/>
      <c r="X24" s="117"/>
    </row>
    <row r="25" spans="1:24" ht="14.4" customHeight="1">
      <c r="A25" s="33" t="s">
        <v>37</v>
      </c>
      <c r="B25" s="75">
        <f>B16*12</f>
        <v>8640</v>
      </c>
      <c r="C25" s="21"/>
      <c r="D25" s="21"/>
      <c r="E25" s="21"/>
      <c r="F25" s="21"/>
      <c r="T25" s="106"/>
      <c r="U25" s="107"/>
      <c r="V25" s="107"/>
      <c r="W25" s="107"/>
      <c r="X25" s="117"/>
    </row>
    <row r="26" spans="1:24" ht="14.4" customHeight="1">
      <c r="A26" s="12" t="s">
        <v>27</v>
      </c>
      <c r="B26" s="76">
        <f>B15*B25*B17</f>
        <v>51840</v>
      </c>
      <c r="C26" s="21"/>
      <c r="D26" s="21"/>
      <c r="E26" s="21"/>
      <c r="F26" s="21"/>
      <c r="T26" s="106"/>
      <c r="U26" s="107"/>
      <c r="V26" s="107"/>
      <c r="W26" s="107"/>
      <c r="X26" s="117"/>
    </row>
    <row r="27" spans="1:24" ht="14.4" customHeight="1">
      <c r="A27" s="12" t="s">
        <v>28</v>
      </c>
      <c r="B27" s="76">
        <f>B15*B25*B18</f>
        <v>34560</v>
      </c>
      <c r="C27" s="21"/>
      <c r="D27" s="21"/>
      <c r="E27" s="21"/>
      <c r="F27" s="21"/>
      <c r="T27" s="106"/>
      <c r="U27" s="107"/>
      <c r="V27" s="107"/>
      <c r="W27" s="107"/>
      <c r="X27" s="117"/>
    </row>
    <row r="28" spans="1:24" ht="14.4" customHeight="1" thickBot="1">
      <c r="A28" s="13" t="s">
        <v>29</v>
      </c>
      <c r="B28" s="77">
        <f>B15*B19</f>
        <v>25000</v>
      </c>
      <c r="C28" s="21"/>
      <c r="D28" s="21"/>
      <c r="E28" s="21"/>
      <c r="F28" s="21"/>
      <c r="T28" s="118"/>
      <c r="U28" s="119"/>
      <c r="V28" s="119"/>
      <c r="W28" s="119"/>
      <c r="X28" s="120"/>
    </row>
    <row r="29" spans="1:24" ht="14.4" customHeight="1" thickBot="1">
      <c r="A29" s="20"/>
      <c r="B29" s="21"/>
      <c r="C29" s="21"/>
      <c r="D29" s="21"/>
      <c r="E29" s="21"/>
      <c r="F29" s="21"/>
      <c r="G29" s="21"/>
      <c r="H29" s="21"/>
      <c r="I29" s="21"/>
      <c r="J29" s="21"/>
      <c r="K29" s="22"/>
      <c r="L29" s="21"/>
      <c r="M29" s="21"/>
    </row>
    <row r="30" spans="1:24" ht="15.6" customHeight="1">
      <c r="A30" s="34" t="s">
        <v>4</v>
      </c>
      <c r="B30" s="35">
        <v>0</v>
      </c>
      <c r="C30" s="35">
        <v>1</v>
      </c>
      <c r="D30" s="35">
        <v>2</v>
      </c>
      <c r="E30" s="36">
        <v>3</v>
      </c>
      <c r="F30" s="21"/>
      <c r="T30" s="134" t="s">
        <v>51</v>
      </c>
      <c r="U30" s="134"/>
      <c r="V30" s="134"/>
      <c r="W30" s="134"/>
      <c r="X30" s="134"/>
    </row>
    <row r="31" spans="1:24" ht="14.4" customHeight="1">
      <c r="A31" s="8" t="s">
        <v>25</v>
      </c>
      <c r="B31" s="80">
        <v>0</v>
      </c>
      <c r="C31" s="80">
        <f>-$B$26</f>
        <v>-51840</v>
      </c>
      <c r="D31" s="80">
        <f>-$B$26</f>
        <v>-51840</v>
      </c>
      <c r="E31" s="81">
        <f>-$B$26</f>
        <v>-51840</v>
      </c>
      <c r="F31" s="21"/>
      <c r="T31" s="135"/>
      <c r="U31" s="135"/>
      <c r="V31" s="135"/>
      <c r="W31" s="135"/>
      <c r="X31" s="135"/>
    </row>
    <row r="32" spans="1:24" ht="14.4" customHeight="1">
      <c r="A32" s="8" t="s">
        <v>26</v>
      </c>
      <c r="B32" s="80">
        <v>0</v>
      </c>
      <c r="C32" s="80">
        <f>$B$27/B22</f>
        <v>34560</v>
      </c>
      <c r="D32" s="80">
        <f t="shared" ref="D32:E32" si="0">$B$27</f>
        <v>34560</v>
      </c>
      <c r="E32" s="81">
        <f t="shared" si="0"/>
        <v>34560</v>
      </c>
      <c r="F32" s="21"/>
      <c r="T32" s="135"/>
      <c r="U32" s="135"/>
      <c r="V32" s="135"/>
      <c r="W32" s="135"/>
      <c r="X32" s="135"/>
    </row>
    <row r="33" spans="1:24" ht="14.4" customHeight="1">
      <c r="A33" s="8" t="s">
        <v>30</v>
      </c>
      <c r="B33" s="80">
        <f>$B$28</f>
        <v>25000</v>
      </c>
      <c r="C33" s="80">
        <v>0</v>
      </c>
      <c r="D33" s="80">
        <v>0</v>
      </c>
      <c r="E33" s="81">
        <v>0</v>
      </c>
      <c r="F33" s="21"/>
      <c r="T33" s="135"/>
      <c r="U33" s="135"/>
      <c r="V33" s="135"/>
      <c r="W33" s="135"/>
      <c r="X33" s="135"/>
    </row>
    <row r="34" spans="1:24" ht="14.4" customHeight="1">
      <c r="A34" s="8" t="s">
        <v>31</v>
      </c>
      <c r="B34" s="80">
        <f>B33+B32</f>
        <v>25000</v>
      </c>
      <c r="C34" s="80">
        <f t="shared" ref="C34:E34" si="1">C33+C32</f>
        <v>34560</v>
      </c>
      <c r="D34" s="80">
        <f t="shared" si="1"/>
        <v>34560</v>
      </c>
      <c r="E34" s="81">
        <f t="shared" si="1"/>
        <v>34560</v>
      </c>
      <c r="F34" s="21"/>
      <c r="T34" s="135"/>
      <c r="U34" s="135"/>
      <c r="V34" s="135"/>
      <c r="W34" s="135"/>
      <c r="X34" s="135"/>
    </row>
    <row r="35" spans="1:24" ht="14.4" customHeight="1">
      <c r="A35" s="8" t="s">
        <v>32</v>
      </c>
      <c r="B35" s="80">
        <f>-B33</f>
        <v>-25000</v>
      </c>
      <c r="C35" s="80">
        <f>-C31-C32</f>
        <v>17280</v>
      </c>
      <c r="D35" s="80">
        <f t="shared" ref="D35:E35" si="2">-D31-D32</f>
        <v>17280</v>
      </c>
      <c r="E35" s="81">
        <f t="shared" si="2"/>
        <v>17280</v>
      </c>
      <c r="F35" s="21"/>
      <c r="T35" s="135"/>
      <c r="U35" s="135"/>
      <c r="V35" s="135"/>
      <c r="W35" s="135"/>
      <c r="X35" s="135"/>
    </row>
    <row r="36" spans="1:24" ht="14.4" customHeight="1">
      <c r="A36" s="8" t="s">
        <v>10</v>
      </c>
      <c r="B36" s="28">
        <f>1/(1+$B$21)^B30</f>
        <v>1</v>
      </c>
      <c r="C36" s="58">
        <f>1/(1+$B$21)^C30</f>
        <v>0.90909090909090906</v>
      </c>
      <c r="D36" s="58">
        <f>1/(1+$B$21)^D30</f>
        <v>0.82644628099173545</v>
      </c>
      <c r="E36" s="58">
        <f>1/(1+$B$21)^E30</f>
        <v>0.75131480090157754</v>
      </c>
      <c r="F36" s="21"/>
      <c r="T36" s="135"/>
      <c r="U36" s="135"/>
      <c r="V36" s="135"/>
      <c r="W36" s="135"/>
      <c r="X36" s="135"/>
    </row>
    <row r="37" spans="1:24" ht="14.4" customHeight="1" thickBot="1">
      <c r="A37" s="10" t="s">
        <v>11</v>
      </c>
      <c r="B37" s="78">
        <f>B35*B36</f>
        <v>-25000</v>
      </c>
      <c r="C37" s="78">
        <f>C35*C36</f>
        <v>15709.090909090908</v>
      </c>
      <c r="D37" s="78">
        <f>D35*D36</f>
        <v>14280.991735537189</v>
      </c>
      <c r="E37" s="79">
        <f>E35*E36</f>
        <v>12982.71975957926</v>
      </c>
      <c r="F37" s="21"/>
      <c r="T37" s="135"/>
      <c r="U37" s="135"/>
      <c r="V37" s="135"/>
      <c r="W37" s="135"/>
      <c r="X37" s="135"/>
    </row>
    <row r="38" spans="1:24" ht="14.4" customHeight="1" thickBot="1">
      <c r="A38" s="20"/>
      <c r="B38" s="21"/>
      <c r="C38" s="21"/>
      <c r="D38" s="21"/>
      <c r="E38" s="21"/>
      <c r="F38" s="21"/>
      <c r="T38" s="135"/>
      <c r="U38" s="135"/>
      <c r="V38" s="135"/>
      <c r="W38" s="135"/>
      <c r="X38" s="135"/>
    </row>
    <row r="39" spans="1:24" ht="15.6" customHeight="1" thickBot="1">
      <c r="B39" s="82">
        <f>SUM($B37:$E37)</f>
        <v>17972.802404207359</v>
      </c>
      <c r="C39" s="27"/>
      <c r="D39" s="27"/>
      <c r="E39" s="27"/>
      <c r="F39" s="21"/>
      <c r="T39" s="135"/>
      <c r="U39" s="135"/>
      <c r="V39" s="135"/>
      <c r="W39" s="135"/>
      <c r="X39" s="135"/>
    </row>
    <row r="40" spans="1:24" ht="14.4" customHeight="1" thickBot="1">
      <c r="A40" s="37" t="s">
        <v>46</v>
      </c>
      <c r="B40" s="27"/>
      <c r="C40" s="27"/>
      <c r="D40" s="27"/>
      <c r="E40" s="27"/>
      <c r="F40" s="21"/>
      <c r="T40" s="135"/>
      <c r="U40" s="135"/>
      <c r="V40" s="135"/>
      <c r="W40" s="135"/>
      <c r="X40" s="135"/>
    </row>
    <row r="41" spans="1:24" ht="14.4" customHeight="1" thickBot="1">
      <c r="A41" s="20"/>
      <c r="B41" s="21"/>
      <c r="C41" s="21"/>
      <c r="D41" s="21"/>
      <c r="E41" s="21"/>
      <c r="F41" s="21"/>
      <c r="T41" s="135"/>
      <c r="U41" s="135"/>
      <c r="V41" s="135"/>
      <c r="W41" s="135"/>
      <c r="X41" s="135"/>
    </row>
    <row r="42" spans="1:24" ht="14.4" customHeight="1">
      <c r="A42" s="151" t="s">
        <v>48</v>
      </c>
      <c r="B42" s="152"/>
      <c r="C42" s="152"/>
      <c r="D42" s="152"/>
      <c r="E42" s="153"/>
      <c r="F42" s="21"/>
      <c r="T42" s="135"/>
      <c r="U42" s="135"/>
      <c r="V42" s="135"/>
      <c r="W42" s="135"/>
      <c r="X42" s="135"/>
    </row>
    <row r="43" spans="1:24" ht="14.4" customHeight="1">
      <c r="A43" s="154"/>
      <c r="B43" s="155"/>
      <c r="C43" s="155"/>
      <c r="D43" s="155"/>
      <c r="E43" s="156"/>
      <c r="F43" s="21"/>
      <c r="T43" s="135"/>
      <c r="U43" s="135"/>
      <c r="V43" s="135"/>
      <c r="W43" s="135"/>
      <c r="X43" s="135"/>
    </row>
    <row r="44" spans="1:24" ht="14.4" customHeight="1">
      <c r="A44" s="154"/>
      <c r="B44" s="155"/>
      <c r="C44" s="155"/>
      <c r="D44" s="155"/>
      <c r="E44" s="156"/>
      <c r="F44" s="21"/>
      <c r="T44" s="135"/>
      <c r="U44" s="135"/>
      <c r="V44" s="135"/>
      <c r="W44" s="135"/>
      <c r="X44" s="135"/>
    </row>
    <row r="45" spans="1:24" ht="14.4" customHeight="1">
      <c r="A45" s="154"/>
      <c r="B45" s="155"/>
      <c r="C45" s="155"/>
      <c r="D45" s="155"/>
      <c r="E45" s="156"/>
      <c r="T45" s="135"/>
      <c r="U45" s="135"/>
      <c r="V45" s="135"/>
      <c r="W45" s="135"/>
      <c r="X45" s="135"/>
    </row>
    <row r="46" spans="1:24" ht="14.4" customHeight="1">
      <c r="A46" s="154"/>
      <c r="B46" s="155"/>
      <c r="C46" s="155"/>
      <c r="D46" s="155"/>
      <c r="E46" s="156"/>
      <c r="T46" s="135"/>
      <c r="U46" s="135"/>
      <c r="V46" s="135"/>
      <c r="W46" s="135"/>
      <c r="X46" s="135"/>
    </row>
    <row r="47" spans="1:24" ht="14.4" customHeight="1">
      <c r="A47" s="154"/>
      <c r="B47" s="155"/>
      <c r="C47" s="155"/>
      <c r="D47" s="155"/>
      <c r="E47" s="156"/>
      <c r="T47" s="135"/>
      <c r="U47" s="135"/>
      <c r="V47" s="135"/>
      <c r="W47" s="135"/>
      <c r="X47" s="135"/>
    </row>
    <row r="48" spans="1:24" ht="14.4" customHeight="1">
      <c r="A48" s="154"/>
      <c r="B48" s="155"/>
      <c r="C48" s="155"/>
      <c r="D48" s="155"/>
      <c r="E48" s="156"/>
      <c r="T48" s="135"/>
      <c r="U48" s="135"/>
      <c r="V48" s="135"/>
      <c r="W48" s="135"/>
      <c r="X48" s="135"/>
    </row>
    <row r="49" spans="1:24" ht="14.4" customHeight="1">
      <c r="A49" s="154"/>
      <c r="B49" s="155"/>
      <c r="C49" s="155"/>
      <c r="D49" s="155"/>
      <c r="E49" s="156"/>
      <c r="T49" s="135"/>
      <c r="U49" s="135"/>
      <c r="V49" s="135"/>
      <c r="W49" s="135"/>
      <c r="X49" s="135"/>
    </row>
    <row r="50" spans="1:24" ht="14.4" customHeight="1" thickBot="1">
      <c r="A50" s="157"/>
      <c r="B50" s="158"/>
      <c r="C50" s="158"/>
      <c r="D50" s="158"/>
      <c r="E50" s="159"/>
      <c r="T50" s="135"/>
      <c r="U50" s="135"/>
      <c r="V50" s="135"/>
      <c r="W50" s="135"/>
      <c r="X50" s="135"/>
    </row>
  </sheetData>
  <mergeCells count="10">
    <mergeCell ref="T30:X50"/>
    <mergeCell ref="R3:X6"/>
    <mergeCell ref="A3:P6"/>
    <mergeCell ref="A10:X11"/>
    <mergeCell ref="A1:X2"/>
    <mergeCell ref="D13:E13"/>
    <mergeCell ref="A42:E50"/>
    <mergeCell ref="T13:X28"/>
    <mergeCell ref="A14:B14"/>
    <mergeCell ref="A24:B24"/>
  </mergeCells>
  <conditionalFormatting sqref="D14:E21">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7E78C-6C28-4DAE-8682-A6304208ED6B}">
  <sheetPr>
    <tabColor theme="1" tint="4.9989318521683403E-2"/>
  </sheetPr>
  <dimension ref="A1:W72"/>
  <sheetViews>
    <sheetView zoomScaleNormal="100" workbookViewId="0">
      <selection activeCell="H69" sqref="H69"/>
    </sheetView>
  </sheetViews>
  <sheetFormatPr defaultRowHeight="14.4"/>
  <cols>
    <col min="1" max="1" width="19.33203125" style="6" customWidth="1"/>
    <col min="2" max="2" width="9" style="6" bestFit="1" customWidth="1"/>
    <col min="3" max="5" width="14" style="6" bestFit="1" customWidth="1"/>
    <col min="6" max="6" width="8" style="6" bestFit="1" customWidth="1"/>
    <col min="7" max="7" width="9" style="6" bestFit="1" customWidth="1"/>
    <col min="8" max="8" width="15.6640625" style="6" customWidth="1"/>
    <col min="9" max="13" width="9" style="6" bestFit="1" customWidth="1"/>
    <col min="14" max="15" width="9.5546875" style="6" bestFit="1" customWidth="1"/>
    <col min="16" max="16384" width="8.88671875" style="6"/>
  </cols>
  <sheetData>
    <row r="1" spans="1:23" ht="14.4" customHeight="1">
      <c r="A1" s="133" t="s">
        <v>73</v>
      </c>
      <c r="B1" s="133"/>
      <c r="C1" s="133"/>
      <c r="D1" s="133"/>
      <c r="E1" s="133"/>
      <c r="F1" s="133"/>
      <c r="G1" s="133"/>
      <c r="H1" s="133"/>
      <c r="I1" s="133"/>
      <c r="J1" s="133"/>
      <c r="K1" s="133"/>
      <c r="L1" s="133"/>
      <c r="M1" s="133"/>
      <c r="N1" s="133"/>
      <c r="O1" s="133"/>
      <c r="P1" s="133"/>
      <c r="Q1" s="133"/>
      <c r="R1" s="133"/>
      <c r="S1" s="133"/>
      <c r="T1" s="133"/>
      <c r="U1" s="133"/>
      <c r="V1" s="133"/>
      <c r="W1" s="133"/>
    </row>
    <row r="2" spans="1:23" ht="14.4" customHeight="1">
      <c r="A2" s="133"/>
      <c r="B2" s="133"/>
      <c r="C2" s="133"/>
      <c r="D2" s="133"/>
      <c r="E2" s="133"/>
      <c r="F2" s="133"/>
      <c r="G2" s="133"/>
      <c r="H2" s="133"/>
      <c r="I2" s="133"/>
      <c r="J2" s="133"/>
      <c r="K2" s="133"/>
      <c r="L2" s="133"/>
      <c r="M2" s="133"/>
      <c r="N2" s="133"/>
      <c r="O2" s="133"/>
      <c r="P2" s="133"/>
      <c r="Q2" s="133"/>
      <c r="R2" s="133"/>
      <c r="S2" s="133"/>
      <c r="T2" s="133"/>
      <c r="U2" s="133"/>
      <c r="V2" s="133"/>
      <c r="W2" s="133"/>
    </row>
    <row r="3" spans="1:23" ht="18">
      <c r="A3" s="171" t="s">
        <v>52</v>
      </c>
      <c r="B3" s="171"/>
      <c r="C3" s="171"/>
      <c r="D3" s="171"/>
      <c r="E3" s="171"/>
      <c r="F3" s="171"/>
      <c r="G3" s="171"/>
      <c r="H3" s="171"/>
      <c r="I3" s="171"/>
      <c r="J3" s="171"/>
      <c r="K3" s="171"/>
      <c r="L3" s="171"/>
      <c r="M3" s="171"/>
      <c r="N3" s="171"/>
      <c r="O3" s="171"/>
      <c r="P3" s="171"/>
      <c r="Q3" s="171"/>
      <c r="R3" s="171"/>
      <c r="S3" s="171"/>
      <c r="T3" s="171"/>
      <c r="U3" s="171"/>
      <c r="V3" s="171"/>
      <c r="W3" s="171"/>
    </row>
    <row r="34" spans="1:17" ht="15.6">
      <c r="A34" s="172" t="s">
        <v>6</v>
      </c>
      <c r="B34" s="173"/>
    </row>
    <row r="35" spans="1:17" ht="15.6">
      <c r="A35" s="51" t="s">
        <v>57</v>
      </c>
      <c r="B35" s="46">
        <v>40</v>
      </c>
      <c r="D35" s="164" t="s">
        <v>71</v>
      </c>
      <c r="E35" s="165"/>
      <c r="F35" s="165"/>
      <c r="G35" s="165"/>
      <c r="H35" s="165"/>
      <c r="I35" s="165"/>
      <c r="J35" s="165"/>
      <c r="K35" s="165"/>
      <c r="L35" s="165"/>
      <c r="M35" s="165"/>
      <c r="N35" s="166"/>
    </row>
    <row r="36" spans="1:17" ht="15.6">
      <c r="A36" s="51" t="s">
        <v>19</v>
      </c>
      <c r="B36" s="46">
        <v>720</v>
      </c>
      <c r="D36" s="167" t="s">
        <v>72</v>
      </c>
      <c r="E36" s="68">
        <f>B56</f>
        <v>19584</v>
      </c>
      <c r="F36" s="50">
        <v>10</v>
      </c>
      <c r="G36" s="50">
        <v>20</v>
      </c>
      <c r="H36" s="50">
        <v>30</v>
      </c>
      <c r="I36" s="50">
        <v>40</v>
      </c>
      <c r="J36" s="50">
        <v>50</v>
      </c>
      <c r="K36" s="50">
        <v>60</v>
      </c>
      <c r="L36" s="50">
        <v>70</v>
      </c>
      <c r="M36" s="50">
        <v>80</v>
      </c>
      <c r="N36" s="50">
        <v>90</v>
      </c>
    </row>
    <row r="37" spans="1:17" ht="31.2">
      <c r="A37" s="51" t="s">
        <v>58</v>
      </c>
      <c r="B37" s="46">
        <v>0.12</v>
      </c>
      <c r="D37" s="168"/>
      <c r="E37" s="50">
        <v>30</v>
      </c>
      <c r="F37" s="67">
        <f t="dataTable" ref="F37:N45" dt2D="1" dtr="1" r1="B40" r2="B39"/>
        <v>12672</v>
      </c>
      <c r="G37" s="67">
        <v>16704</v>
      </c>
      <c r="H37" s="67">
        <v>20736</v>
      </c>
      <c r="I37" s="67">
        <v>24768</v>
      </c>
      <c r="J37" s="67">
        <v>28800</v>
      </c>
      <c r="K37" s="67">
        <v>32832</v>
      </c>
      <c r="L37" s="67">
        <v>36864</v>
      </c>
      <c r="M37" s="67">
        <v>40896</v>
      </c>
      <c r="N37" s="67">
        <v>44928</v>
      </c>
    </row>
    <row r="38" spans="1:17" ht="31.2">
      <c r="A38" s="51" t="s">
        <v>59</v>
      </c>
      <c r="B38" s="46">
        <v>0.08</v>
      </c>
      <c r="D38" s="168"/>
      <c r="E38" s="50">
        <v>40</v>
      </c>
      <c r="F38" s="67">
        <v>15552</v>
      </c>
      <c r="G38" s="67">
        <v>19584</v>
      </c>
      <c r="H38" s="67">
        <v>23616</v>
      </c>
      <c r="I38" s="67">
        <v>27648</v>
      </c>
      <c r="J38" s="67">
        <v>31680</v>
      </c>
      <c r="K38" s="67">
        <v>35712</v>
      </c>
      <c r="L38" s="67">
        <v>39744</v>
      </c>
      <c r="M38" s="67">
        <v>43776</v>
      </c>
      <c r="N38" s="67">
        <v>47808</v>
      </c>
      <c r="P38" s="45"/>
      <c r="Q38" s="45"/>
    </row>
    <row r="39" spans="1:17" ht="31.2">
      <c r="A39" s="51" t="s">
        <v>60</v>
      </c>
      <c r="B39" s="46">
        <v>40</v>
      </c>
      <c r="D39" s="168"/>
      <c r="E39" s="50">
        <v>50</v>
      </c>
      <c r="F39" s="67">
        <v>18432</v>
      </c>
      <c r="G39" s="67">
        <v>22464</v>
      </c>
      <c r="H39" s="67">
        <v>26496</v>
      </c>
      <c r="I39" s="67">
        <v>30528</v>
      </c>
      <c r="J39" s="67">
        <v>34560</v>
      </c>
      <c r="K39" s="67">
        <v>38592</v>
      </c>
      <c r="L39" s="67">
        <v>42624</v>
      </c>
      <c r="M39" s="67">
        <v>46656</v>
      </c>
      <c r="N39" s="67">
        <v>50688</v>
      </c>
    </row>
    <row r="40" spans="1:17" ht="31.2">
      <c r="A40" s="51" t="s">
        <v>61</v>
      </c>
      <c r="B40" s="46">
        <v>20</v>
      </c>
      <c r="D40" s="168"/>
      <c r="E40" s="50">
        <v>45</v>
      </c>
      <c r="F40" s="67">
        <v>16992</v>
      </c>
      <c r="G40" s="67">
        <v>21024</v>
      </c>
      <c r="H40" s="67">
        <v>25056</v>
      </c>
      <c r="I40" s="67">
        <v>29088</v>
      </c>
      <c r="J40" s="67">
        <v>33120</v>
      </c>
      <c r="K40" s="67">
        <v>37152</v>
      </c>
      <c r="L40" s="67">
        <v>41184</v>
      </c>
      <c r="M40" s="67">
        <v>45216</v>
      </c>
      <c r="N40" s="67">
        <v>49248</v>
      </c>
    </row>
    <row r="41" spans="1:17" ht="15.6">
      <c r="A41" s="51" t="s">
        <v>62</v>
      </c>
      <c r="B41" s="46">
        <v>10</v>
      </c>
      <c r="D41" s="168"/>
      <c r="E41" s="50">
        <v>60</v>
      </c>
      <c r="F41" s="67">
        <v>21312</v>
      </c>
      <c r="G41" s="67">
        <v>25344</v>
      </c>
      <c r="H41" s="67">
        <v>29376</v>
      </c>
      <c r="I41" s="67">
        <v>33408</v>
      </c>
      <c r="J41" s="67">
        <v>37440</v>
      </c>
      <c r="K41" s="67">
        <v>41472</v>
      </c>
      <c r="L41" s="67">
        <v>45504</v>
      </c>
      <c r="M41" s="67">
        <v>49536</v>
      </c>
      <c r="N41" s="67">
        <v>53568</v>
      </c>
    </row>
    <row r="42" spans="1:17" ht="31.2">
      <c r="A42" s="51" t="s">
        <v>63</v>
      </c>
      <c r="B42" s="46">
        <v>14</v>
      </c>
      <c r="D42" s="168"/>
      <c r="E42" s="50">
        <v>70</v>
      </c>
      <c r="F42" s="67">
        <v>24192</v>
      </c>
      <c r="G42" s="67">
        <v>28224</v>
      </c>
      <c r="H42" s="67">
        <v>32256</v>
      </c>
      <c r="I42" s="67">
        <v>36288</v>
      </c>
      <c r="J42" s="67">
        <v>40320</v>
      </c>
      <c r="K42" s="67">
        <v>44352</v>
      </c>
      <c r="L42" s="67">
        <v>48384</v>
      </c>
      <c r="M42" s="67">
        <v>52416</v>
      </c>
      <c r="N42" s="67">
        <v>56448</v>
      </c>
    </row>
    <row r="43" spans="1:17" ht="15.6">
      <c r="A43" s="51" t="s">
        <v>53</v>
      </c>
      <c r="B43" s="46">
        <v>30</v>
      </c>
      <c r="D43" s="168"/>
      <c r="E43" s="50">
        <v>80</v>
      </c>
      <c r="F43" s="67">
        <v>27072</v>
      </c>
      <c r="G43" s="67">
        <v>31104</v>
      </c>
      <c r="H43" s="67">
        <v>35136</v>
      </c>
      <c r="I43" s="67">
        <v>39168</v>
      </c>
      <c r="J43" s="67">
        <v>43200</v>
      </c>
      <c r="K43" s="67">
        <v>47232</v>
      </c>
      <c r="L43" s="67">
        <v>51264</v>
      </c>
      <c r="M43" s="67">
        <v>55296</v>
      </c>
      <c r="N43" s="67">
        <v>59328</v>
      </c>
    </row>
    <row r="44" spans="1:17" ht="15.6">
      <c r="A44" s="51" t="s">
        <v>3</v>
      </c>
      <c r="B44" s="47">
        <v>0.1</v>
      </c>
      <c r="D44" s="168"/>
      <c r="E44" s="50">
        <v>90</v>
      </c>
      <c r="F44" s="67">
        <v>29952</v>
      </c>
      <c r="G44" s="67">
        <v>33984</v>
      </c>
      <c r="H44" s="67">
        <v>38016</v>
      </c>
      <c r="I44" s="67">
        <v>42048</v>
      </c>
      <c r="J44" s="67">
        <v>46080</v>
      </c>
      <c r="K44" s="67">
        <v>50112</v>
      </c>
      <c r="L44" s="67">
        <v>54144</v>
      </c>
      <c r="M44" s="67">
        <v>58176</v>
      </c>
      <c r="N44" s="67">
        <v>62208</v>
      </c>
    </row>
    <row r="45" spans="1:17" ht="31.2">
      <c r="A45" s="51" t="s">
        <v>54</v>
      </c>
      <c r="B45" s="46">
        <v>3</v>
      </c>
      <c r="D45" s="169"/>
      <c r="E45" s="50">
        <v>100</v>
      </c>
      <c r="F45" s="67">
        <v>32832</v>
      </c>
      <c r="G45" s="67">
        <v>36864</v>
      </c>
      <c r="H45" s="67">
        <v>40896</v>
      </c>
      <c r="I45" s="67">
        <v>44928</v>
      </c>
      <c r="J45" s="67">
        <v>48960</v>
      </c>
      <c r="K45" s="67">
        <v>52992</v>
      </c>
      <c r="L45" s="67">
        <v>57024</v>
      </c>
      <c r="M45" s="67">
        <v>61056</v>
      </c>
      <c r="N45" s="67">
        <v>65088</v>
      </c>
    </row>
    <row r="46" spans="1:17" ht="15.6">
      <c r="A46" s="48"/>
      <c r="B46" s="48"/>
    </row>
    <row r="48" spans="1:17" ht="36">
      <c r="A48" s="49" t="s">
        <v>55</v>
      </c>
      <c r="B48" s="72">
        <f>B54-B55</f>
        <v>13824</v>
      </c>
    </row>
    <row r="49" spans="1:15" ht="36">
      <c r="A49" s="49" t="s">
        <v>56</v>
      </c>
      <c r="B49" s="72">
        <f>B54-B56</f>
        <v>21888</v>
      </c>
    </row>
    <row r="52" spans="1:15" ht="18">
      <c r="A52" s="174" t="s">
        <v>24</v>
      </c>
      <c r="B52" s="174"/>
      <c r="G52" s="69">
        <f t="shared" ref="G52:O52" si="0">$B$54-F37</f>
        <v>28800</v>
      </c>
      <c r="H52" s="69">
        <f t="shared" si="0"/>
        <v>24768</v>
      </c>
      <c r="I52" s="69">
        <f t="shared" si="0"/>
        <v>20736</v>
      </c>
      <c r="J52" s="69">
        <f t="shared" si="0"/>
        <v>16704</v>
      </c>
      <c r="K52" s="69">
        <f t="shared" si="0"/>
        <v>12672</v>
      </c>
      <c r="L52" s="69">
        <f t="shared" si="0"/>
        <v>8640</v>
      </c>
      <c r="M52" s="69">
        <f t="shared" si="0"/>
        <v>4608</v>
      </c>
      <c r="N52" s="69">
        <f t="shared" si="0"/>
        <v>576</v>
      </c>
      <c r="O52" s="69">
        <f t="shared" si="0"/>
        <v>-3456</v>
      </c>
    </row>
    <row r="53" spans="1:15" ht="18">
      <c r="A53" s="46" t="s">
        <v>64</v>
      </c>
      <c r="B53" s="71">
        <f>B36*12</f>
        <v>8640</v>
      </c>
      <c r="G53" s="69">
        <f t="shared" ref="G53:O53" si="1">$B$54-F38</f>
        <v>25920</v>
      </c>
      <c r="H53" s="69">
        <f t="shared" si="1"/>
        <v>21888</v>
      </c>
      <c r="I53" s="69">
        <f t="shared" si="1"/>
        <v>17856</v>
      </c>
      <c r="J53" s="69">
        <f t="shared" si="1"/>
        <v>13824</v>
      </c>
      <c r="K53" s="69">
        <f t="shared" si="1"/>
        <v>9792</v>
      </c>
      <c r="L53" s="69">
        <f t="shared" si="1"/>
        <v>5760</v>
      </c>
      <c r="M53" s="69">
        <f t="shared" si="1"/>
        <v>1728</v>
      </c>
      <c r="N53" s="69">
        <f t="shared" si="1"/>
        <v>-2304</v>
      </c>
      <c r="O53" s="69">
        <f t="shared" si="1"/>
        <v>-6336</v>
      </c>
    </row>
    <row r="54" spans="1:15" ht="31.8">
      <c r="A54" s="46" t="s">
        <v>65</v>
      </c>
      <c r="B54" s="71">
        <f xml:space="preserve"> B35 * B37 * B53</f>
        <v>41472</v>
      </c>
      <c r="G54" s="69">
        <f t="shared" ref="G54:O54" si="2">$B$54-F39</f>
        <v>23040</v>
      </c>
      <c r="H54" s="69">
        <f t="shared" si="2"/>
        <v>19008</v>
      </c>
      <c r="I54" s="69">
        <f t="shared" si="2"/>
        <v>14976</v>
      </c>
      <c r="J54" s="69">
        <f t="shared" si="2"/>
        <v>10944</v>
      </c>
      <c r="K54" s="69">
        <f t="shared" si="2"/>
        <v>6912</v>
      </c>
      <c r="L54" s="69">
        <f t="shared" si="2"/>
        <v>2880</v>
      </c>
      <c r="M54" s="69">
        <f t="shared" si="2"/>
        <v>-1152</v>
      </c>
      <c r="N54" s="69">
        <f t="shared" si="2"/>
        <v>-5184</v>
      </c>
      <c r="O54" s="69">
        <f t="shared" si="2"/>
        <v>-9216</v>
      </c>
    </row>
    <row r="55" spans="1:15" ht="31.8">
      <c r="A55" s="46" t="s">
        <v>66</v>
      </c>
      <c r="B55" s="71">
        <f xml:space="preserve"> B35 * B38 * B53</f>
        <v>27648</v>
      </c>
      <c r="G55" s="69">
        <f t="shared" ref="G55:O55" si="3">$B$54-F40</f>
        <v>24480</v>
      </c>
      <c r="H55" s="69">
        <f t="shared" si="3"/>
        <v>20448</v>
      </c>
      <c r="I55" s="69">
        <f t="shared" si="3"/>
        <v>16416</v>
      </c>
      <c r="J55" s="69">
        <f t="shared" si="3"/>
        <v>12384</v>
      </c>
      <c r="K55" s="69">
        <f t="shared" si="3"/>
        <v>8352</v>
      </c>
      <c r="L55" s="69">
        <f t="shared" si="3"/>
        <v>4320</v>
      </c>
      <c r="M55" s="69">
        <f t="shared" si="3"/>
        <v>288</v>
      </c>
      <c r="N55" s="69">
        <f t="shared" si="3"/>
        <v>-3744</v>
      </c>
      <c r="O55" s="69">
        <f t="shared" si="3"/>
        <v>-7776</v>
      </c>
    </row>
    <row r="56" spans="1:15" ht="31.8">
      <c r="A56" s="46" t="s">
        <v>67</v>
      </c>
      <c r="B56" s="71">
        <f xml:space="preserve"> (B39*B41*B43 + B40*B42*B43) * 12 * B38</f>
        <v>19584</v>
      </c>
      <c r="G56" s="69">
        <f t="shared" ref="G56:O56" si="4">$B$54-F41</f>
        <v>20160</v>
      </c>
      <c r="H56" s="69">
        <f t="shared" si="4"/>
        <v>16128</v>
      </c>
      <c r="I56" s="69">
        <f t="shared" si="4"/>
        <v>12096</v>
      </c>
      <c r="J56" s="69">
        <f t="shared" si="4"/>
        <v>8064</v>
      </c>
      <c r="K56" s="69">
        <f t="shared" si="4"/>
        <v>4032</v>
      </c>
      <c r="L56" s="69">
        <f t="shared" si="4"/>
        <v>0</v>
      </c>
      <c r="M56" s="69">
        <f t="shared" si="4"/>
        <v>-4032</v>
      </c>
      <c r="N56" s="69">
        <f t="shared" si="4"/>
        <v>-8064</v>
      </c>
      <c r="O56" s="69">
        <f t="shared" si="4"/>
        <v>-12096</v>
      </c>
    </row>
    <row r="57" spans="1:15" ht="18">
      <c r="G57" s="69">
        <f t="shared" ref="G57:O57" si="5">$B$54-F42</f>
        <v>17280</v>
      </c>
      <c r="H57" s="69">
        <f t="shared" si="5"/>
        <v>13248</v>
      </c>
      <c r="I57" s="69">
        <f t="shared" si="5"/>
        <v>9216</v>
      </c>
      <c r="J57" s="69">
        <f t="shared" si="5"/>
        <v>5184</v>
      </c>
      <c r="K57" s="69">
        <f t="shared" si="5"/>
        <v>1152</v>
      </c>
      <c r="L57" s="69">
        <f t="shared" si="5"/>
        <v>-2880</v>
      </c>
      <c r="M57" s="69">
        <f t="shared" si="5"/>
        <v>-6912</v>
      </c>
      <c r="N57" s="69">
        <f t="shared" si="5"/>
        <v>-10944</v>
      </c>
      <c r="O57" s="69">
        <f t="shared" si="5"/>
        <v>-14976</v>
      </c>
    </row>
    <row r="58" spans="1:15" ht="18">
      <c r="G58" s="69">
        <f t="shared" ref="G58:O58" si="6">$B$54-F43</f>
        <v>14400</v>
      </c>
      <c r="H58" s="69">
        <f t="shared" si="6"/>
        <v>10368</v>
      </c>
      <c r="I58" s="69">
        <f t="shared" si="6"/>
        <v>6336</v>
      </c>
      <c r="J58" s="69">
        <f t="shared" si="6"/>
        <v>2304</v>
      </c>
      <c r="K58" s="69">
        <f t="shared" si="6"/>
        <v>-1728</v>
      </c>
      <c r="L58" s="69">
        <f t="shared" si="6"/>
        <v>-5760</v>
      </c>
      <c r="M58" s="69">
        <f t="shared" si="6"/>
        <v>-9792</v>
      </c>
      <c r="N58" s="69">
        <f t="shared" si="6"/>
        <v>-13824</v>
      </c>
      <c r="O58" s="69">
        <f t="shared" si="6"/>
        <v>-17856</v>
      </c>
    </row>
    <row r="60" spans="1:15" ht="15.6">
      <c r="A60" s="52" t="s">
        <v>4</v>
      </c>
      <c r="B60" s="53">
        <v>0</v>
      </c>
      <c r="C60" s="53">
        <v>1</v>
      </c>
      <c r="D60" s="53">
        <v>2</v>
      </c>
      <c r="E60" s="53">
        <v>3</v>
      </c>
    </row>
    <row r="61" spans="1:15" ht="15.6">
      <c r="A61" s="41" t="s">
        <v>68</v>
      </c>
      <c r="B61" s="43">
        <v>0</v>
      </c>
      <c r="C61" s="70">
        <f>-B54</f>
        <v>-41472</v>
      </c>
      <c r="D61" s="70">
        <f>-B54</f>
        <v>-41472</v>
      </c>
      <c r="E61" s="70">
        <f>-B54</f>
        <v>-41472</v>
      </c>
    </row>
    <row r="62" spans="1:15" ht="31.2">
      <c r="A62" s="41" t="s">
        <v>69</v>
      </c>
      <c r="B62" s="43">
        <v>0</v>
      </c>
      <c r="C62" s="70">
        <f>-B56</f>
        <v>-19584</v>
      </c>
      <c r="D62" s="70">
        <f>-B56</f>
        <v>-19584</v>
      </c>
      <c r="E62" s="70">
        <f>-B56</f>
        <v>-19584</v>
      </c>
    </row>
    <row r="63" spans="1:15" ht="15.6">
      <c r="A63" s="40" t="s">
        <v>43</v>
      </c>
      <c r="B63" s="43">
        <v>0</v>
      </c>
      <c r="C63" s="70">
        <f>B54-B56</f>
        <v>21888</v>
      </c>
      <c r="D63" s="70">
        <f>B54-B56</f>
        <v>21888</v>
      </c>
      <c r="E63" s="70">
        <f>B54-B56</f>
        <v>21888</v>
      </c>
    </row>
    <row r="64" spans="1:15" ht="15.6">
      <c r="A64" s="41" t="s">
        <v>10</v>
      </c>
      <c r="B64" s="43">
        <v>1</v>
      </c>
      <c r="C64" s="63">
        <f>1/(1+$B$44)^1</f>
        <v>0.90909090909090906</v>
      </c>
      <c r="D64" s="63">
        <f>1/(1+$B$44)^2</f>
        <v>0.82644628099173545</v>
      </c>
      <c r="E64" s="63">
        <f>1/(1+$B$44)^3</f>
        <v>0.75131480090157754</v>
      </c>
    </row>
    <row r="65" spans="1:5" ht="15.6">
      <c r="A65" s="40" t="s">
        <v>11</v>
      </c>
      <c r="B65" s="43">
        <v>0</v>
      </c>
      <c r="C65" s="70">
        <f>C63*C64</f>
        <v>19898.181818181816</v>
      </c>
      <c r="D65" s="70">
        <f t="shared" ref="D65:E65" si="7">D63*D64</f>
        <v>18089.256198347106</v>
      </c>
      <c r="E65" s="70">
        <f t="shared" si="7"/>
        <v>16444.778362133729</v>
      </c>
    </row>
    <row r="66" spans="1:5" ht="28.8" customHeight="1">
      <c r="A66" s="170" t="s">
        <v>70</v>
      </c>
      <c r="B66" s="170"/>
      <c r="C66" s="54">
        <f>SUM(C65:E65)</f>
        <v>54432.216378662648</v>
      </c>
    </row>
    <row r="72" spans="1:5">
      <c r="C72" s="6">
        <f>SUM(C66:E66)</f>
        <v>54432.216378662648</v>
      </c>
    </row>
  </sheetData>
  <mergeCells count="7">
    <mergeCell ref="D35:N35"/>
    <mergeCell ref="D36:D45"/>
    <mergeCell ref="A66:B66"/>
    <mergeCell ref="A1:W2"/>
    <mergeCell ref="A3:W3"/>
    <mergeCell ref="A34:B34"/>
    <mergeCell ref="A52:B52"/>
  </mergeCells>
  <conditionalFormatting sqref="F37:N45">
    <cfRule type="colorScale" priority="2">
      <colorScale>
        <cfvo type="min"/>
        <cfvo type="percentile" val="50"/>
        <cfvo type="max"/>
        <color rgb="FF63BE7B"/>
        <color rgb="FFFFEB84"/>
        <color rgb="FFF8696B"/>
      </colorScale>
    </cfRule>
  </conditionalFormatting>
  <conditionalFormatting sqref="G52:O58">
    <cfRule type="cellIs" dxfId="14" priority="1" operator="between">
      <formula>-500</formula>
      <formula>500</formula>
    </cfRule>
    <cfRule type="colorScale" priority="4">
      <colorScale>
        <cfvo type="min"/>
        <cfvo type="max"/>
        <color rgb="FFFF7128"/>
        <color rgb="FF92D050"/>
      </colorScale>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849F9-DD6B-44BD-80AD-19EAAB54ED2A}">
  <sheetPr>
    <tabColor theme="7" tint="-0.499984740745262"/>
  </sheetPr>
  <dimension ref="A1:N94"/>
  <sheetViews>
    <sheetView workbookViewId="0">
      <selection activeCell="D92" sqref="D92"/>
    </sheetView>
  </sheetViews>
  <sheetFormatPr defaultRowHeight="14.4"/>
  <cols>
    <col min="1" max="1" width="18.6640625" style="6" customWidth="1"/>
    <col min="2" max="2" width="9.33203125" customWidth="1"/>
    <col min="3" max="4" width="12.6640625" bestFit="1" customWidth="1"/>
    <col min="5" max="5" width="11.88671875" customWidth="1"/>
    <col min="7" max="7" width="15.21875" customWidth="1"/>
    <col min="9" max="9" width="23.21875" bestFit="1" customWidth="1"/>
    <col min="10" max="10" width="20.6640625" customWidth="1"/>
    <col min="11" max="11" width="21" customWidth="1"/>
    <col min="12" max="12" width="19.77734375" customWidth="1"/>
  </cols>
  <sheetData>
    <row r="1" spans="1:14" ht="21">
      <c r="A1" s="184" t="s">
        <v>99</v>
      </c>
      <c r="B1" s="184"/>
      <c r="C1" s="184"/>
      <c r="D1" s="184"/>
      <c r="E1" s="184"/>
      <c r="F1" s="184"/>
      <c r="G1" s="184"/>
      <c r="H1" s="184"/>
      <c r="I1" s="184"/>
      <c r="J1" s="184"/>
      <c r="K1" s="184"/>
      <c r="L1" s="184"/>
      <c r="M1" s="184"/>
      <c r="N1" s="184"/>
    </row>
    <row r="37" spans="1:7">
      <c r="A37" s="55"/>
    </row>
    <row r="38" spans="1:7">
      <c r="A38" s="55"/>
    </row>
    <row r="39" spans="1:7">
      <c r="A39" s="55"/>
    </row>
    <row r="40" spans="1:7">
      <c r="A40" s="175" t="s">
        <v>6</v>
      </c>
      <c r="B40" s="176"/>
      <c r="D40" s="4" t="s">
        <v>78</v>
      </c>
      <c r="E40" s="66">
        <f>B89</f>
        <v>-138865.81517655897</v>
      </c>
      <c r="F40" s="66">
        <f>B90</f>
        <v>-207512.87753568744</v>
      </c>
      <c r="G40" s="1" t="str">
        <f xml:space="preserve"> IF(E40 &gt; F40,"Active-Passive","Active-Active")</f>
        <v>Active-Passive</v>
      </c>
    </row>
    <row r="41" spans="1:7">
      <c r="A41" s="177"/>
      <c r="B41" s="178"/>
      <c r="D41" s="65">
        <v>5000</v>
      </c>
      <c r="E41" s="66">
        <f t="dataTable" ref="E41:G48" dt2D="0" dtr="0" r1="B49"/>
        <v>-131405.25920360629</v>
      </c>
      <c r="F41" s="66">
        <v>-206580.30803906836</v>
      </c>
      <c r="G41" s="1" t="str">
        <v>Active-Passive</v>
      </c>
    </row>
    <row r="42" spans="1:7" ht="28.8">
      <c r="A42" s="56" t="s">
        <v>74</v>
      </c>
      <c r="B42" s="1">
        <v>40</v>
      </c>
      <c r="D42" s="65">
        <v>10000</v>
      </c>
      <c r="E42" s="66">
        <v>-133892.11119459051</v>
      </c>
      <c r="F42" s="66">
        <v>-206891.16453794137</v>
      </c>
      <c r="G42" s="1" t="str">
        <v>Active-Passive</v>
      </c>
    </row>
    <row r="43" spans="1:7" ht="28.8">
      <c r="A43" s="56" t="s">
        <v>75</v>
      </c>
      <c r="B43" s="1">
        <v>10</v>
      </c>
      <c r="D43" s="65">
        <v>20000</v>
      </c>
      <c r="E43" s="66">
        <v>-138865.81517655897</v>
      </c>
      <c r="F43" s="66">
        <v>-207512.87753568744</v>
      </c>
      <c r="G43" s="1" t="str">
        <v>Active-Passive</v>
      </c>
    </row>
    <row r="44" spans="1:7" ht="28.8">
      <c r="A44" s="56" t="s">
        <v>76</v>
      </c>
      <c r="B44" s="1">
        <v>40</v>
      </c>
      <c r="D44" s="65">
        <v>40000</v>
      </c>
      <c r="E44" s="66">
        <v>-148813.22314049583</v>
      </c>
      <c r="F44" s="66">
        <v>-208756.30353117952</v>
      </c>
      <c r="G44" s="1" t="str">
        <v>Active-Passive</v>
      </c>
    </row>
    <row r="45" spans="1:7">
      <c r="D45" s="65">
        <v>80000</v>
      </c>
      <c r="E45" s="66">
        <v>-168708.03906836963</v>
      </c>
      <c r="F45" s="66">
        <v>-211243.15552216375</v>
      </c>
      <c r="G45" s="1" t="str">
        <v>Active-Passive</v>
      </c>
    </row>
    <row r="46" spans="1:7">
      <c r="A46" s="56" t="s">
        <v>77</v>
      </c>
      <c r="B46" s="1">
        <v>0.12</v>
      </c>
      <c r="D46" s="65">
        <v>160000</v>
      </c>
      <c r="E46" s="66">
        <v>-208497.67092411715</v>
      </c>
      <c r="F46" s="66">
        <v>-216216.85950413218</v>
      </c>
      <c r="G46" s="1" t="str">
        <v>Active-Passive</v>
      </c>
    </row>
    <row r="47" spans="1:7">
      <c r="A47" s="56" t="s">
        <v>19</v>
      </c>
      <c r="B47" s="1">
        <v>720</v>
      </c>
      <c r="D47" s="65">
        <v>200000</v>
      </c>
      <c r="E47" s="66">
        <v>-228392.48685199098</v>
      </c>
      <c r="F47" s="66">
        <v>-218703.71149511644</v>
      </c>
      <c r="G47" s="1" t="str">
        <v>Active-Active</v>
      </c>
    </row>
    <row r="48" spans="1:7">
      <c r="D48" s="65">
        <v>400000</v>
      </c>
      <c r="E48" s="66">
        <v>-327866.56649135984</v>
      </c>
      <c r="F48" s="66">
        <v>-231137.97145003753</v>
      </c>
      <c r="G48" s="1" t="str">
        <v>Active-Active</v>
      </c>
    </row>
    <row r="49" spans="1:2" ht="28.8">
      <c r="A49" s="56" t="s">
        <v>78</v>
      </c>
      <c r="B49" s="66">
        <v>20000</v>
      </c>
    </row>
    <row r="50" spans="1:2" ht="28.8">
      <c r="A50" s="56" t="s">
        <v>79</v>
      </c>
      <c r="B50" s="2">
        <v>0.05</v>
      </c>
    </row>
    <row r="52" spans="1:2" ht="28.8">
      <c r="A52" s="56" t="s">
        <v>80</v>
      </c>
      <c r="B52" s="1">
        <v>4</v>
      </c>
    </row>
    <row r="53" spans="1:2" ht="28.8">
      <c r="A53" s="56" t="s">
        <v>81</v>
      </c>
      <c r="B53" s="1">
        <v>0.5</v>
      </c>
    </row>
    <row r="55" spans="1:2">
      <c r="A55" s="7" t="s">
        <v>3</v>
      </c>
      <c r="B55" s="2">
        <v>0.1</v>
      </c>
    </row>
    <row r="56" spans="1:2" ht="28.8">
      <c r="A56" s="7" t="s">
        <v>54</v>
      </c>
      <c r="B56" s="1">
        <v>3</v>
      </c>
    </row>
    <row r="59" spans="1:2">
      <c r="A59" s="179" t="s">
        <v>82</v>
      </c>
      <c r="B59" s="179"/>
    </row>
    <row r="60" spans="1:2">
      <c r="A60" s="179"/>
      <c r="B60" s="179"/>
    </row>
    <row r="61" spans="1:2" ht="28.8">
      <c r="A61" s="7" t="s">
        <v>83</v>
      </c>
      <c r="B61" s="66">
        <f>B42 * B46 * B47 * 12</f>
        <v>41472</v>
      </c>
    </row>
    <row r="62" spans="1:2" ht="28.8">
      <c r="A62" s="7" t="s">
        <v>84</v>
      </c>
      <c r="B62" s="66">
        <f>B43 * B46 * B47 * 12</f>
        <v>10368</v>
      </c>
    </row>
    <row r="63" spans="1:2" ht="28.8">
      <c r="A63" s="7" t="s">
        <v>85</v>
      </c>
      <c r="B63" s="66">
        <f>B44 * B46 * B47 * 12</f>
        <v>41472</v>
      </c>
    </row>
    <row r="66" spans="1:5">
      <c r="A66" s="179" t="s">
        <v>86</v>
      </c>
      <c r="B66" s="179"/>
    </row>
    <row r="67" spans="1:5">
      <c r="A67" s="179"/>
      <c r="B67" s="179"/>
    </row>
    <row r="68" spans="1:5" ht="28.8">
      <c r="A68" s="7" t="s">
        <v>87</v>
      </c>
      <c r="B68" s="66">
        <f>B49 * B52 * B50</f>
        <v>4000</v>
      </c>
    </row>
    <row r="69" spans="1:5" ht="28.8">
      <c r="A69" s="7" t="s">
        <v>88</v>
      </c>
      <c r="B69" s="66">
        <f>B49 * B53 * B50</f>
        <v>500</v>
      </c>
    </row>
    <row r="72" spans="1:5">
      <c r="A72" s="180" t="s">
        <v>89</v>
      </c>
      <c r="B72" s="181"/>
    </row>
    <row r="73" spans="1:5">
      <c r="A73" s="182"/>
      <c r="B73" s="183"/>
    </row>
    <row r="74" spans="1:5" ht="28.8">
      <c r="A74" s="7" t="s">
        <v>90</v>
      </c>
      <c r="B74" s="66">
        <f>B61 + B62 + B68</f>
        <v>55840</v>
      </c>
    </row>
    <row r="75" spans="1:5" ht="28.8">
      <c r="A75" s="7" t="s">
        <v>91</v>
      </c>
      <c r="B75" s="66">
        <f>B61 + B63 + B69</f>
        <v>83444</v>
      </c>
    </row>
    <row r="78" spans="1:5">
      <c r="A78" s="7" t="s">
        <v>4</v>
      </c>
      <c r="B78" s="1">
        <v>0</v>
      </c>
      <c r="C78" s="1">
        <v>1</v>
      </c>
      <c r="D78" s="1">
        <v>2</v>
      </c>
      <c r="E78" s="1">
        <v>3</v>
      </c>
    </row>
    <row r="80" spans="1:5">
      <c r="A80" s="7" t="s">
        <v>92</v>
      </c>
      <c r="B80" s="1">
        <v>0</v>
      </c>
      <c r="C80" s="66">
        <f>-B74</f>
        <v>-55840</v>
      </c>
      <c r="D80" s="66">
        <f>-B74</f>
        <v>-55840</v>
      </c>
      <c r="E80" s="66">
        <f>-B74</f>
        <v>-55840</v>
      </c>
    </row>
    <row r="81" spans="1:5">
      <c r="A81" s="7" t="s">
        <v>93</v>
      </c>
      <c r="B81" s="1">
        <v>0</v>
      </c>
      <c r="C81" s="66">
        <f>-B75</f>
        <v>-83444</v>
      </c>
      <c r="D81" s="66">
        <f>-B75</f>
        <v>-83444</v>
      </c>
      <c r="E81" s="66">
        <f>-B75</f>
        <v>-83444</v>
      </c>
    </row>
    <row r="82" spans="1:5">
      <c r="E82" s="64"/>
    </row>
    <row r="83" spans="1:5">
      <c r="A83" s="7" t="s">
        <v>10</v>
      </c>
      <c r="B83" s="1">
        <v>1</v>
      </c>
      <c r="C83" s="1">
        <f>1/(1+$B$55)</f>
        <v>0.90909090909090906</v>
      </c>
      <c r="D83" s="1">
        <f>1/(1+$B$55)^2</f>
        <v>0.82644628099173545</v>
      </c>
      <c r="E83" s="1">
        <f>1/(1+$B$55)^3</f>
        <v>0.75131480090157754</v>
      </c>
    </row>
    <row r="85" spans="1:5">
      <c r="A85" s="7" t="s">
        <v>94</v>
      </c>
      <c r="B85" s="1">
        <f>B80*B83</f>
        <v>0</v>
      </c>
      <c r="C85" s="66">
        <f>C80*C83</f>
        <v>-50763.63636363636</v>
      </c>
      <c r="D85" s="66">
        <f t="shared" ref="D85:E85" si="0">D80*D83</f>
        <v>-46148.760330578509</v>
      </c>
      <c r="E85" s="66">
        <f t="shared" si="0"/>
        <v>-41953.418482344088</v>
      </c>
    </row>
    <row r="86" spans="1:5">
      <c r="A86" s="7" t="s">
        <v>95</v>
      </c>
      <c r="B86" s="1">
        <f>B81*B83</f>
        <v>0</v>
      </c>
      <c r="C86" s="66">
        <f>C81*C83</f>
        <v>-75858.181818181809</v>
      </c>
      <c r="D86" s="66">
        <f>D81*D83</f>
        <v>-68961.983471074374</v>
      </c>
      <c r="E86" s="66">
        <f>E81*E83</f>
        <v>-62692.712246431234</v>
      </c>
    </row>
    <row r="89" spans="1:5">
      <c r="A89" s="7" t="s">
        <v>96</v>
      </c>
      <c r="B89" s="66">
        <f>SUM(B85:E85)</f>
        <v>-138865.81517655897</v>
      </c>
    </row>
    <row r="90" spans="1:5">
      <c r="A90" s="7" t="s">
        <v>97</v>
      </c>
      <c r="B90" s="66">
        <f>SUM(B86:E86)</f>
        <v>-207512.87753568744</v>
      </c>
    </row>
    <row r="93" spans="1:5" ht="21.6" customHeight="1">
      <c r="A93" s="7" t="s">
        <v>98</v>
      </c>
      <c r="B93" s="1" t="str">
        <f>IF(B89 &gt; B90, "Active-Passive", "Active-Active")</f>
        <v>Active-Passive</v>
      </c>
    </row>
    <row r="94" spans="1:5">
      <c r="A94" s="7"/>
      <c r="B94" s="1"/>
    </row>
  </sheetData>
  <mergeCells count="5">
    <mergeCell ref="A40:B41"/>
    <mergeCell ref="A66:B67"/>
    <mergeCell ref="A59:B60"/>
    <mergeCell ref="A72:B73"/>
    <mergeCell ref="A1:N1"/>
  </mergeCells>
  <conditionalFormatting sqref="B49">
    <cfRule type="containsText" dxfId="13" priority="11" operator="containsText" text="Active-Active">
      <formula>NOT(ISERROR(SEARCH("Active-Active",B49)))</formula>
    </cfRule>
    <cfRule type="containsText" dxfId="12" priority="12" operator="containsText" text="Active-Passive">
      <formula>NOT(ISERROR(SEARCH("Active-Passive",B49)))</formula>
    </cfRule>
  </conditionalFormatting>
  <conditionalFormatting sqref="B61:B63">
    <cfRule type="containsText" dxfId="11" priority="9" operator="containsText" text="Active-Active">
      <formula>NOT(ISERROR(SEARCH("Active-Active",B61)))</formula>
    </cfRule>
    <cfRule type="containsText" dxfId="10" priority="10" operator="containsText" text="Active-Passive">
      <formula>NOT(ISERROR(SEARCH("Active-Passive",B61)))</formula>
    </cfRule>
  </conditionalFormatting>
  <conditionalFormatting sqref="B74:B75">
    <cfRule type="containsText" dxfId="9" priority="7" operator="containsText" text="Active-Active">
      <formula>NOT(ISERROR(SEARCH("Active-Active",B74)))</formula>
    </cfRule>
    <cfRule type="containsText" dxfId="8" priority="8" operator="containsText" text="Active-Passive">
      <formula>NOT(ISERROR(SEARCH("Active-Passive",B74)))</formula>
    </cfRule>
  </conditionalFormatting>
  <conditionalFormatting sqref="B89:B90">
    <cfRule type="containsText" dxfId="7" priority="1" operator="containsText" text="Active-Active">
      <formula>NOT(ISERROR(SEARCH("Active-Active",B89)))</formula>
    </cfRule>
    <cfRule type="containsText" dxfId="6" priority="2" operator="containsText" text="Active-Passive">
      <formula>NOT(ISERROR(SEARCH("Active-Passive",B89)))</formula>
    </cfRule>
  </conditionalFormatting>
  <conditionalFormatting sqref="C80:E81">
    <cfRule type="containsText" dxfId="5" priority="3" operator="containsText" text="Active-Active">
      <formula>NOT(ISERROR(SEARCH("Active-Active",C80)))</formula>
    </cfRule>
    <cfRule type="containsText" dxfId="4" priority="4" operator="containsText" text="Active-Passive">
      <formula>NOT(ISERROR(SEARCH("Active-Passive",C80)))</formula>
    </cfRule>
  </conditionalFormatting>
  <conditionalFormatting sqref="C85:E86">
    <cfRule type="containsText" dxfId="3" priority="5" operator="containsText" text="Active-Active">
      <formula>NOT(ISERROR(SEARCH("Active-Active",C85)))</formula>
    </cfRule>
    <cfRule type="containsText" dxfId="2" priority="6" operator="containsText" text="Active-Passive">
      <formula>NOT(ISERROR(SEARCH("Active-Passive",C85)))</formula>
    </cfRule>
  </conditionalFormatting>
  <conditionalFormatting sqref="D40:G48">
    <cfRule type="containsText" dxfId="1" priority="13" operator="containsText" text="Active-Active">
      <formula>NOT(ISERROR(SEARCH("Active-Active",D40)))</formula>
    </cfRule>
    <cfRule type="containsText" dxfId="0" priority="14" operator="containsText" text="Active-Passive">
      <formula>NOT(ISERROR(SEARCH("Active-Passive",D40)))</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4578-532B-4057-ACBF-A77766123E06}">
  <sheetPr>
    <tabColor rgb="FFFFC000"/>
  </sheetPr>
  <dimension ref="A1:Y1100"/>
  <sheetViews>
    <sheetView tabSelected="1" topLeftCell="A51" zoomScale="85" zoomScaleNormal="85" workbookViewId="0">
      <selection activeCell="A57" sqref="A57:E61"/>
    </sheetView>
  </sheetViews>
  <sheetFormatPr defaultRowHeight="14.4"/>
  <cols>
    <col min="1" max="1" width="36.5546875" bestFit="1" customWidth="1"/>
    <col min="2" max="2" width="26.5546875" bestFit="1" customWidth="1"/>
    <col min="3" max="3" width="19.44140625" customWidth="1"/>
    <col min="4" max="4" width="12.6640625" bestFit="1" customWidth="1"/>
    <col min="5" max="5" width="12" bestFit="1" customWidth="1"/>
    <col min="6" max="6" width="20.88671875" customWidth="1"/>
    <col min="8" max="8" width="9.77734375" bestFit="1" customWidth="1"/>
  </cols>
  <sheetData>
    <row r="1" spans="1:25">
      <c r="A1" s="186" t="s">
        <v>126</v>
      </c>
      <c r="B1" s="186"/>
      <c r="C1" s="186"/>
      <c r="D1" s="186"/>
      <c r="E1" s="186"/>
      <c r="F1" s="186"/>
      <c r="G1" s="186"/>
      <c r="H1" s="186"/>
      <c r="I1" s="186"/>
      <c r="J1" s="186"/>
      <c r="K1" s="186"/>
      <c r="L1" s="186"/>
      <c r="M1" s="186"/>
      <c r="N1" s="186"/>
      <c r="O1" s="186"/>
      <c r="P1" s="186"/>
      <c r="Q1" s="186"/>
      <c r="R1" s="186"/>
      <c r="S1" s="186"/>
      <c r="T1" s="186"/>
      <c r="U1" s="186"/>
      <c r="V1" s="186"/>
      <c r="W1" s="186"/>
      <c r="X1" s="186"/>
      <c r="Y1" s="186"/>
    </row>
    <row r="2" spans="1:25">
      <c r="A2" s="186"/>
      <c r="B2" s="186"/>
      <c r="C2" s="186"/>
      <c r="D2" s="186"/>
      <c r="E2" s="186"/>
      <c r="F2" s="186"/>
      <c r="G2" s="186"/>
      <c r="H2" s="186"/>
      <c r="I2" s="186"/>
      <c r="J2" s="186"/>
      <c r="K2" s="186"/>
      <c r="L2" s="186"/>
      <c r="M2" s="186"/>
      <c r="N2" s="186"/>
      <c r="O2" s="186"/>
      <c r="P2" s="186"/>
      <c r="Q2" s="186"/>
      <c r="R2" s="186"/>
      <c r="S2" s="186"/>
      <c r="T2" s="186"/>
      <c r="U2" s="186"/>
      <c r="V2" s="186"/>
      <c r="W2" s="186"/>
      <c r="X2" s="186"/>
      <c r="Y2" s="186"/>
    </row>
    <row r="3" spans="1:25">
      <c r="A3" s="186"/>
      <c r="B3" s="186"/>
      <c r="C3" s="186"/>
      <c r="D3" s="186"/>
      <c r="E3" s="186"/>
      <c r="F3" s="186"/>
      <c r="G3" s="186"/>
      <c r="H3" s="186"/>
      <c r="I3" s="186"/>
      <c r="J3" s="186"/>
      <c r="K3" s="186"/>
      <c r="L3" s="186"/>
      <c r="M3" s="186"/>
      <c r="N3" s="186"/>
      <c r="O3" s="186"/>
      <c r="P3" s="186"/>
      <c r="Q3" s="186"/>
      <c r="R3" s="186"/>
      <c r="S3" s="186"/>
      <c r="T3" s="186"/>
      <c r="U3" s="186"/>
      <c r="V3" s="186"/>
      <c r="W3" s="186"/>
      <c r="X3" s="186"/>
      <c r="Y3" s="186"/>
    </row>
    <row r="34" spans="1:9">
      <c r="A34" s="185" t="s">
        <v>6</v>
      </c>
      <c r="B34" s="185"/>
      <c r="E34" s="44"/>
    </row>
    <row r="35" spans="1:9">
      <c r="A35" s="85" t="s">
        <v>18</v>
      </c>
      <c r="B35" s="87">
        <v>50</v>
      </c>
      <c r="E35" s="91"/>
      <c r="F35" s="64"/>
    </row>
    <row r="36" spans="1:9">
      <c r="A36" s="85" t="s">
        <v>19</v>
      </c>
      <c r="B36" s="87">
        <v>720</v>
      </c>
      <c r="E36" s="91"/>
      <c r="F36" s="64"/>
    </row>
    <row r="37" spans="1:9">
      <c r="A37" s="85" t="s">
        <v>100</v>
      </c>
      <c r="B37" s="87">
        <v>0.12</v>
      </c>
      <c r="E37" s="189" t="s">
        <v>42</v>
      </c>
      <c r="F37" s="190">
        <f>B71</f>
        <v>-63922.043576258453</v>
      </c>
    </row>
    <row r="38" spans="1:9">
      <c r="A38" s="85" t="s">
        <v>101</v>
      </c>
      <c r="B38" s="87">
        <v>0.08</v>
      </c>
      <c r="E38" s="191">
        <v>0.4</v>
      </c>
      <c r="F38" s="190">
        <f t="dataTable" ref="F38:F44" dt2D="0" dtr="0" r1="B42"/>
        <v>-36526.882043576261</v>
      </c>
    </row>
    <row r="39" spans="1:9">
      <c r="A39" s="85" t="s">
        <v>102</v>
      </c>
      <c r="B39" s="87">
        <v>8.5000000000000006E-2</v>
      </c>
      <c r="E39" s="191">
        <v>0.5</v>
      </c>
      <c r="F39" s="190">
        <v>-45658.602554470323</v>
      </c>
    </row>
    <row r="40" spans="1:9">
      <c r="A40" s="85" t="s">
        <v>22</v>
      </c>
      <c r="B40" s="87">
        <v>500</v>
      </c>
      <c r="E40" s="191">
        <v>0.6</v>
      </c>
      <c r="F40" s="190">
        <v>-54790.323065364377</v>
      </c>
    </row>
    <row r="41" spans="1:9">
      <c r="A41" s="85" t="s">
        <v>23</v>
      </c>
      <c r="B41" s="87">
        <v>3</v>
      </c>
      <c r="E41" s="191">
        <v>0.7</v>
      </c>
      <c r="F41" s="190">
        <v>-63922.043576258453</v>
      </c>
    </row>
    <row r="42" spans="1:9">
      <c r="A42" s="85" t="s">
        <v>103</v>
      </c>
      <c r="B42" s="88">
        <v>0.7</v>
      </c>
      <c r="D42" s="95"/>
      <c r="E42" s="191">
        <v>0.8</v>
      </c>
      <c r="F42" s="190">
        <v>-73053.764087152522</v>
      </c>
    </row>
    <row r="43" spans="1:9">
      <c r="A43" s="86" t="s">
        <v>3</v>
      </c>
      <c r="B43" s="88">
        <v>0.1</v>
      </c>
      <c r="E43" s="191">
        <v>0.9</v>
      </c>
      <c r="F43" s="190">
        <v>-82185.484598046576</v>
      </c>
    </row>
    <row r="44" spans="1:9">
      <c r="A44" s="85" t="s">
        <v>54</v>
      </c>
      <c r="B44" s="87">
        <v>3</v>
      </c>
      <c r="E44" s="191">
        <v>1</v>
      </c>
      <c r="F44" s="190">
        <v>-91317.205108940645</v>
      </c>
    </row>
    <row r="45" spans="1:9">
      <c r="A45" s="185" t="s">
        <v>124</v>
      </c>
      <c r="B45" s="185"/>
      <c r="C45" s="187"/>
      <c r="D45" s="188"/>
      <c r="E45" s="91"/>
      <c r="F45" s="188"/>
      <c r="G45" s="188"/>
      <c r="H45" s="188"/>
      <c r="I45" s="188"/>
    </row>
    <row r="46" spans="1:9">
      <c r="A46" s="85" t="s">
        <v>24</v>
      </c>
      <c r="B46" s="87"/>
      <c r="C46" s="187"/>
      <c r="D46" s="188"/>
      <c r="E46" s="188"/>
      <c r="F46" s="188"/>
      <c r="G46" s="188"/>
      <c r="H46" s="188"/>
      <c r="I46" s="188"/>
    </row>
    <row r="47" spans="1:9">
      <c r="A47" s="85" t="s">
        <v>104</v>
      </c>
      <c r="B47" s="89">
        <f>B36*12</f>
        <v>8640</v>
      </c>
      <c r="C47" s="187"/>
      <c r="D47" s="188"/>
      <c r="E47" s="188"/>
      <c r="F47" s="188"/>
      <c r="G47" s="188"/>
      <c r="H47" s="188"/>
      <c r="I47" s="188"/>
    </row>
    <row r="48" spans="1:9">
      <c r="A48" s="85" t="s">
        <v>105</v>
      </c>
      <c r="B48" s="89">
        <f>B47*B42</f>
        <v>6048</v>
      </c>
      <c r="C48" s="187"/>
      <c r="D48" s="188"/>
      <c r="E48" s="188"/>
      <c r="F48" s="188"/>
      <c r="G48" s="188"/>
      <c r="H48" s="188"/>
      <c r="I48" s="188"/>
    </row>
    <row r="49" spans="1:9">
      <c r="A49" s="185" t="s">
        <v>123</v>
      </c>
      <c r="B49" s="185"/>
      <c r="C49" s="187"/>
      <c r="D49" s="188"/>
      <c r="E49" s="188"/>
      <c r="F49" s="188"/>
      <c r="G49" s="188"/>
      <c r="H49" s="188"/>
      <c r="I49" s="188"/>
    </row>
    <row r="50" spans="1:9">
      <c r="A50" s="85" t="s">
        <v>106</v>
      </c>
      <c r="B50" s="89">
        <f>B48*B35*B37</f>
        <v>36288</v>
      </c>
      <c r="C50" s="187"/>
      <c r="D50" s="188"/>
      <c r="E50" s="188"/>
      <c r="F50" s="188"/>
      <c r="G50" s="188"/>
      <c r="H50" s="188"/>
      <c r="I50" s="188"/>
    </row>
    <row r="51" spans="1:9">
      <c r="A51" s="85" t="s">
        <v>107</v>
      </c>
      <c r="B51" s="89">
        <f>B48*B35*B38</f>
        <v>24192</v>
      </c>
      <c r="C51" s="187"/>
      <c r="D51" s="188"/>
      <c r="E51" s="188"/>
      <c r="F51" s="188"/>
      <c r="G51" s="188"/>
      <c r="H51" s="188"/>
      <c r="I51" s="188"/>
    </row>
    <row r="52" spans="1:9">
      <c r="A52" s="85" t="s">
        <v>108</v>
      </c>
      <c r="B52" s="89">
        <f>B48*B35*B39</f>
        <v>25704.000000000004</v>
      </c>
      <c r="C52" s="187"/>
      <c r="D52" s="188"/>
      <c r="E52" s="188"/>
      <c r="F52" s="188"/>
      <c r="G52" s="188"/>
      <c r="H52" s="188"/>
      <c r="I52" s="188"/>
    </row>
    <row r="53" spans="1:9">
      <c r="A53" s="85" t="s">
        <v>109</v>
      </c>
      <c r="B53" s="89">
        <f>B35*B40</f>
        <v>25000</v>
      </c>
      <c r="C53" s="187"/>
      <c r="D53" s="188"/>
      <c r="E53" s="188"/>
      <c r="F53" s="188"/>
      <c r="G53" s="188"/>
      <c r="H53" s="188"/>
      <c r="I53" s="188"/>
    </row>
    <row r="54" spans="1:9">
      <c r="A54" s="185" t="s">
        <v>125</v>
      </c>
      <c r="B54" s="185"/>
      <c r="C54" s="187"/>
      <c r="D54" s="188"/>
      <c r="E54" s="188"/>
      <c r="F54" s="188"/>
      <c r="G54" s="188"/>
      <c r="H54" s="188"/>
      <c r="I54" s="188"/>
    </row>
    <row r="55" spans="1:9">
      <c r="A55" s="85" t="s">
        <v>110</v>
      </c>
      <c r="B55" s="89">
        <f>B50-B51</f>
        <v>12096</v>
      </c>
      <c r="C55" s="187"/>
      <c r="D55" s="188"/>
      <c r="E55" s="188"/>
      <c r="F55" s="188"/>
      <c r="G55" s="188"/>
      <c r="H55" s="188"/>
      <c r="I55" s="188"/>
    </row>
    <row r="56" spans="1:9">
      <c r="A56" s="85" t="s">
        <v>111</v>
      </c>
      <c r="B56" s="89">
        <f>B50-B52</f>
        <v>10583.999999999996</v>
      </c>
    </row>
    <row r="57" spans="1:9">
      <c r="A57" s="185" t="s">
        <v>137</v>
      </c>
      <c r="B57" s="185"/>
      <c r="C57" s="185"/>
      <c r="D57" s="185"/>
      <c r="E57" s="185"/>
    </row>
    <row r="58" spans="1:9">
      <c r="A58" s="85" t="s">
        <v>4</v>
      </c>
      <c r="B58" s="87">
        <v>0</v>
      </c>
      <c r="C58" s="87">
        <v>1</v>
      </c>
      <c r="D58" s="87">
        <v>2</v>
      </c>
      <c r="E58" s="87">
        <v>3</v>
      </c>
    </row>
    <row r="59" spans="1:9">
      <c r="A59" s="85" t="s">
        <v>25</v>
      </c>
      <c r="B59" s="87">
        <v>0</v>
      </c>
      <c r="C59" s="89">
        <f>-B50</f>
        <v>-36288</v>
      </c>
      <c r="D59" s="89">
        <f>-B50</f>
        <v>-36288</v>
      </c>
      <c r="E59" s="89">
        <f>-B50</f>
        <v>-36288</v>
      </c>
    </row>
    <row r="60" spans="1:9">
      <c r="A60" s="85" t="s">
        <v>112</v>
      </c>
      <c r="B60" s="89">
        <f>-B53</f>
        <v>-25000</v>
      </c>
      <c r="C60" s="89">
        <f>-B51</f>
        <v>-24192</v>
      </c>
      <c r="D60" s="89">
        <f>-B51</f>
        <v>-24192</v>
      </c>
      <c r="E60" s="89">
        <f>-B51</f>
        <v>-24192</v>
      </c>
    </row>
    <row r="61" spans="1:9">
      <c r="A61" s="85" t="s">
        <v>113</v>
      </c>
      <c r="B61" s="87">
        <v>0</v>
      </c>
      <c r="C61" s="89">
        <f>-B52</f>
        <v>-25704.000000000004</v>
      </c>
      <c r="D61" s="89">
        <f>-B52</f>
        <v>-25704.000000000004</v>
      </c>
      <c r="E61" s="89">
        <f>-B52</f>
        <v>-25704.000000000004</v>
      </c>
    </row>
    <row r="62" spans="1:9">
      <c r="A62" s="185" t="s">
        <v>121</v>
      </c>
      <c r="B62" s="185"/>
      <c r="C62" s="185"/>
      <c r="D62" s="185"/>
      <c r="E62" s="185"/>
    </row>
    <row r="63" spans="1:9">
      <c r="A63" s="85" t="s">
        <v>10</v>
      </c>
      <c r="B63" s="87">
        <v>1</v>
      </c>
      <c r="C63" s="90">
        <f>1/(1+$B$43)^1</f>
        <v>0.90909090909090906</v>
      </c>
      <c r="D63" s="90">
        <f>1/(1+$B$43)^2</f>
        <v>0.82644628099173545</v>
      </c>
      <c r="E63" s="90">
        <f>1/(1+$B$43)^3</f>
        <v>0.75131480090157754</v>
      </c>
    </row>
    <row r="64" spans="1:9">
      <c r="A64" s="185" t="s">
        <v>122</v>
      </c>
      <c r="B64" s="185"/>
      <c r="C64" s="185"/>
      <c r="D64" s="185"/>
      <c r="E64" s="185"/>
    </row>
    <row r="65" spans="1:5">
      <c r="A65" s="85" t="s">
        <v>114</v>
      </c>
      <c r="B65" s="87">
        <f>B59*B63</f>
        <v>0</v>
      </c>
      <c r="C65" s="89">
        <f t="shared" ref="C65:E65" si="0">C59*C63</f>
        <v>-32989.090909090904</v>
      </c>
      <c r="D65" s="89">
        <f t="shared" si="0"/>
        <v>-29990.082644628095</v>
      </c>
      <c r="E65" s="89">
        <f t="shared" si="0"/>
        <v>-27263.711495116444</v>
      </c>
    </row>
    <row r="66" spans="1:5">
      <c r="A66" s="85" t="s">
        <v>115</v>
      </c>
      <c r="B66" s="89">
        <f>B60*B63</f>
        <v>-25000</v>
      </c>
      <c r="C66" s="89">
        <f t="shared" ref="C66:E66" si="1">C60*C63</f>
        <v>-21992.727272727272</v>
      </c>
      <c r="D66" s="89">
        <f t="shared" si="1"/>
        <v>-19993.388429752064</v>
      </c>
      <c r="E66" s="89">
        <f t="shared" si="1"/>
        <v>-18175.807663410964</v>
      </c>
    </row>
    <row r="67" spans="1:5">
      <c r="A67" s="85" t="s">
        <v>116</v>
      </c>
      <c r="B67" s="87">
        <f>B61*B63</f>
        <v>0</v>
      </c>
      <c r="C67" s="89">
        <f t="shared" ref="C67:E67" si="2">C61*C63</f>
        <v>-23367.272727272732</v>
      </c>
      <c r="D67" s="89">
        <f t="shared" si="2"/>
        <v>-21242.975206611573</v>
      </c>
      <c r="E67" s="89">
        <f t="shared" si="2"/>
        <v>-19311.795642374153</v>
      </c>
    </row>
    <row r="68" spans="1:5">
      <c r="A68" s="185" t="s">
        <v>120</v>
      </c>
      <c r="B68" s="185"/>
      <c r="C68" s="64"/>
      <c r="D68" s="64"/>
      <c r="E68" s="64"/>
    </row>
    <row r="69" spans="1:5">
      <c r="A69" s="85" t="s">
        <v>117</v>
      </c>
      <c r="B69" s="89">
        <f>SUM(B65:E65)</f>
        <v>-90242.885048835436</v>
      </c>
    </row>
    <row r="70" spans="1:5">
      <c r="A70" s="85" t="s">
        <v>118</v>
      </c>
      <c r="B70" s="89">
        <f>SUM(B66:E66)</f>
        <v>-85161.923365890296</v>
      </c>
    </row>
    <row r="71" spans="1:5">
      <c r="A71" s="85" t="s">
        <v>119</v>
      </c>
      <c r="B71" s="89">
        <f>SUM(B67:E67)</f>
        <v>-63922.043576258453</v>
      </c>
    </row>
    <row r="73" spans="1:5" ht="15.6">
      <c r="A73" s="83" t="s">
        <v>127</v>
      </c>
      <c r="B73" s="84" t="str">
        <f>IF(
   B71=MAX(B69:B71),"Savings Plan",
   IF(B70=MAX(B69:B71),"Reserved Instance","Pay-As-You-Go")
 )</f>
        <v>Savings Plan</v>
      </c>
    </row>
    <row r="85" spans="1:8">
      <c r="B85" t="s">
        <v>136</v>
      </c>
    </row>
    <row r="86" spans="1:8">
      <c r="B86">
        <f>IF($A86="", B42, $A86)</f>
        <v>0.7</v>
      </c>
    </row>
    <row r="89" spans="1:8">
      <c r="A89" s="94" t="s">
        <v>135</v>
      </c>
      <c r="B89" s="94" t="s">
        <v>42</v>
      </c>
      <c r="C89" s="94" t="s">
        <v>134</v>
      </c>
    </row>
    <row r="90" spans="1:8">
      <c r="A90">
        <f>ROW()-95</f>
        <v>-5</v>
      </c>
      <c r="B90">
        <v>0.72</v>
      </c>
      <c r="C90" s="6">
        <f>$B$71 + 0*B90</f>
        <v>-63922.043576258453</v>
      </c>
    </row>
    <row r="91" spans="1:8">
      <c r="A91">
        <f t="shared" ref="A91:A154" si="3">ROW()-95</f>
        <v>-4</v>
      </c>
      <c r="B91">
        <f t="shared" ref="B91:B154" ca="1" si="4">RANDBETWEEN(40,100)/100</f>
        <v>0.74</v>
      </c>
      <c r="C91" s="6">
        <f ca="1">$B$71 + 0*B91</f>
        <v>-63922.043576258453</v>
      </c>
    </row>
    <row r="92" spans="1:8">
      <c r="A92">
        <f t="shared" si="3"/>
        <v>-3</v>
      </c>
      <c r="B92">
        <f t="shared" ca="1" si="4"/>
        <v>0.68</v>
      </c>
      <c r="C92" s="6">
        <f t="shared" ref="C91:C154" ca="1" si="5">$B$71 + 0*B92</f>
        <v>-63922.043576258453</v>
      </c>
      <c r="F92">
        <v>1</v>
      </c>
      <c r="G92">
        <f ca="1">ROUND(RAND()*(1-0.4)+0.4,3)</f>
        <v>0.80200000000000005</v>
      </c>
      <c r="H92" s="92">
        <f>B71</f>
        <v>-63922.043576258453</v>
      </c>
    </row>
    <row r="93" spans="1:8">
      <c r="A93">
        <f t="shared" si="3"/>
        <v>-2</v>
      </c>
      <c r="B93">
        <f t="shared" ca="1" si="4"/>
        <v>0.44</v>
      </c>
      <c r="C93" s="6">
        <f t="shared" ca="1" si="5"/>
        <v>-63922.043576258453</v>
      </c>
      <c r="F93">
        <f>F92+1</f>
        <v>2</v>
      </c>
      <c r="G93">
        <f t="shared" ref="G93:G156" ca="1" si="6">ROUND(RAND()*(1-0.4)+0.4,3)</f>
        <v>0.495</v>
      </c>
    </row>
    <row r="94" spans="1:8">
      <c r="A94">
        <f t="shared" si="3"/>
        <v>-1</v>
      </c>
      <c r="B94">
        <f t="shared" ca="1" si="4"/>
        <v>0.53</v>
      </c>
      <c r="C94" s="6">
        <f t="shared" ca="1" si="5"/>
        <v>-63922.043576258453</v>
      </c>
      <c r="F94">
        <f t="shared" ref="F94:F157" si="7">F93+1</f>
        <v>3</v>
      </c>
      <c r="G94">
        <f t="shared" ca="1" si="6"/>
        <v>0.89800000000000002</v>
      </c>
    </row>
    <row r="95" spans="1:8">
      <c r="A95">
        <f t="shared" si="3"/>
        <v>0</v>
      </c>
      <c r="B95">
        <f t="shared" ca="1" si="4"/>
        <v>0.47</v>
      </c>
      <c r="C95" s="6">
        <f t="shared" ca="1" si="5"/>
        <v>-63922.043576258453</v>
      </c>
      <c r="F95">
        <f t="shared" si="7"/>
        <v>4</v>
      </c>
      <c r="G95">
        <f t="shared" ca="1" si="6"/>
        <v>0.871</v>
      </c>
    </row>
    <row r="96" spans="1:8">
      <c r="A96">
        <f t="shared" si="3"/>
        <v>1</v>
      </c>
      <c r="B96">
        <f t="shared" ca="1" si="4"/>
        <v>0.86</v>
      </c>
      <c r="C96" s="6">
        <f t="shared" ca="1" si="5"/>
        <v>-63922.043576258453</v>
      </c>
      <c r="F96">
        <f t="shared" si="7"/>
        <v>5</v>
      </c>
      <c r="G96">
        <f t="shared" ca="1" si="6"/>
        <v>0.495</v>
      </c>
    </row>
    <row r="97" spans="1:7">
      <c r="A97">
        <f t="shared" si="3"/>
        <v>2</v>
      </c>
      <c r="B97">
        <f t="shared" ca="1" si="4"/>
        <v>0.59</v>
      </c>
      <c r="C97" s="6">
        <f t="shared" ca="1" si="5"/>
        <v>-63922.043576258453</v>
      </c>
      <c r="F97">
        <f t="shared" si="7"/>
        <v>6</v>
      </c>
      <c r="G97">
        <f t="shared" ca="1" si="6"/>
        <v>0.998</v>
      </c>
    </row>
    <row r="98" spans="1:7">
      <c r="A98">
        <f t="shared" si="3"/>
        <v>3</v>
      </c>
      <c r="B98">
        <f t="shared" ca="1" si="4"/>
        <v>0.93</v>
      </c>
      <c r="C98" s="6">
        <f t="shared" ca="1" si="5"/>
        <v>-63922.043576258453</v>
      </c>
      <c r="F98">
        <f t="shared" si="7"/>
        <v>7</v>
      </c>
      <c r="G98">
        <f t="shared" ca="1" si="6"/>
        <v>0.43099999999999999</v>
      </c>
    </row>
    <row r="99" spans="1:7">
      <c r="A99">
        <f t="shared" si="3"/>
        <v>4</v>
      </c>
      <c r="B99">
        <f t="shared" ca="1" si="4"/>
        <v>0.98</v>
      </c>
      <c r="C99" s="6">
        <f t="shared" ca="1" si="5"/>
        <v>-63922.043576258453</v>
      </c>
      <c r="F99">
        <f t="shared" si="7"/>
        <v>8</v>
      </c>
      <c r="G99">
        <f t="shared" ca="1" si="6"/>
        <v>0.438</v>
      </c>
    </row>
    <row r="100" spans="1:7">
      <c r="A100">
        <f t="shared" si="3"/>
        <v>5</v>
      </c>
      <c r="B100">
        <f t="shared" ca="1" si="4"/>
        <v>0.76</v>
      </c>
      <c r="C100" s="6">
        <f t="shared" ca="1" si="5"/>
        <v>-63922.043576258453</v>
      </c>
      <c r="F100">
        <f t="shared" si="7"/>
        <v>9</v>
      </c>
      <c r="G100">
        <f t="shared" ca="1" si="6"/>
        <v>0.74099999999999999</v>
      </c>
    </row>
    <row r="101" spans="1:7">
      <c r="A101">
        <f t="shared" si="3"/>
        <v>6</v>
      </c>
      <c r="B101">
        <f t="shared" ca="1" si="4"/>
        <v>0.57999999999999996</v>
      </c>
      <c r="C101" s="6">
        <f t="shared" ca="1" si="5"/>
        <v>-63922.043576258453</v>
      </c>
      <c r="F101">
        <f t="shared" si="7"/>
        <v>10</v>
      </c>
      <c r="G101">
        <f t="shared" ca="1" si="6"/>
        <v>0.95899999999999996</v>
      </c>
    </row>
    <row r="102" spans="1:7">
      <c r="A102">
        <f t="shared" si="3"/>
        <v>7</v>
      </c>
      <c r="B102">
        <f t="shared" ca="1" si="4"/>
        <v>0.49</v>
      </c>
      <c r="C102" s="6">
        <f t="shared" ca="1" si="5"/>
        <v>-63922.043576258453</v>
      </c>
      <c r="F102">
        <f t="shared" si="7"/>
        <v>11</v>
      </c>
      <c r="G102">
        <f t="shared" ca="1" si="6"/>
        <v>0.82099999999999995</v>
      </c>
    </row>
    <row r="103" spans="1:7">
      <c r="A103">
        <f t="shared" si="3"/>
        <v>8</v>
      </c>
      <c r="B103">
        <f t="shared" ca="1" si="4"/>
        <v>0.81</v>
      </c>
      <c r="C103" s="6">
        <f t="shared" ca="1" si="5"/>
        <v>-63922.043576258453</v>
      </c>
      <c r="F103">
        <f t="shared" si="7"/>
        <v>12</v>
      </c>
      <c r="G103">
        <f t="shared" ca="1" si="6"/>
        <v>0.81200000000000006</v>
      </c>
    </row>
    <row r="104" spans="1:7">
      <c r="A104">
        <f t="shared" si="3"/>
        <v>9</v>
      </c>
      <c r="B104">
        <f t="shared" ca="1" si="4"/>
        <v>0.69</v>
      </c>
      <c r="C104" s="6">
        <f t="shared" ca="1" si="5"/>
        <v>-63922.043576258453</v>
      </c>
      <c r="F104">
        <f t="shared" si="7"/>
        <v>13</v>
      </c>
      <c r="G104">
        <f t="shared" ca="1" si="6"/>
        <v>0.74199999999999999</v>
      </c>
    </row>
    <row r="105" spans="1:7">
      <c r="A105">
        <f t="shared" si="3"/>
        <v>10</v>
      </c>
      <c r="B105">
        <f t="shared" ca="1" si="4"/>
        <v>0.63</v>
      </c>
      <c r="C105" s="6">
        <f t="shared" ca="1" si="5"/>
        <v>-63922.043576258453</v>
      </c>
      <c r="F105">
        <f t="shared" si="7"/>
        <v>14</v>
      </c>
      <c r="G105">
        <f t="shared" ca="1" si="6"/>
        <v>0.90200000000000002</v>
      </c>
    </row>
    <row r="106" spans="1:7">
      <c r="A106">
        <f t="shared" si="3"/>
        <v>11</v>
      </c>
      <c r="B106">
        <f t="shared" ca="1" si="4"/>
        <v>0.85</v>
      </c>
      <c r="C106" s="6">
        <f t="shared" ca="1" si="5"/>
        <v>-63922.043576258453</v>
      </c>
      <c r="F106">
        <f t="shared" si="7"/>
        <v>15</v>
      </c>
      <c r="G106">
        <f t="shared" ca="1" si="6"/>
        <v>0.90100000000000002</v>
      </c>
    </row>
    <row r="107" spans="1:7">
      <c r="A107">
        <f t="shared" si="3"/>
        <v>12</v>
      </c>
      <c r="B107">
        <f t="shared" ca="1" si="4"/>
        <v>0.5</v>
      </c>
      <c r="C107" s="6">
        <f t="shared" ca="1" si="5"/>
        <v>-63922.043576258453</v>
      </c>
      <c r="F107">
        <f t="shared" si="7"/>
        <v>16</v>
      </c>
      <c r="G107">
        <f t="shared" ca="1" si="6"/>
        <v>0.7</v>
      </c>
    </row>
    <row r="108" spans="1:7">
      <c r="A108">
        <f t="shared" si="3"/>
        <v>13</v>
      </c>
      <c r="B108">
        <f t="shared" ca="1" si="4"/>
        <v>0.56999999999999995</v>
      </c>
      <c r="C108" s="6">
        <f t="shared" ca="1" si="5"/>
        <v>-63922.043576258453</v>
      </c>
      <c r="F108">
        <f t="shared" si="7"/>
        <v>17</v>
      </c>
      <c r="G108">
        <f t="shared" ca="1" si="6"/>
        <v>0.61899999999999999</v>
      </c>
    </row>
    <row r="109" spans="1:7">
      <c r="A109">
        <f t="shared" si="3"/>
        <v>14</v>
      </c>
      <c r="B109">
        <f t="shared" ca="1" si="4"/>
        <v>0.61</v>
      </c>
      <c r="C109" s="6">
        <f t="shared" ca="1" si="5"/>
        <v>-63922.043576258453</v>
      </c>
      <c r="F109">
        <f t="shared" si="7"/>
        <v>18</v>
      </c>
      <c r="G109">
        <f t="shared" ca="1" si="6"/>
        <v>0.76700000000000002</v>
      </c>
    </row>
    <row r="110" spans="1:7">
      <c r="A110">
        <f t="shared" si="3"/>
        <v>15</v>
      </c>
      <c r="B110">
        <f t="shared" ca="1" si="4"/>
        <v>0.73</v>
      </c>
      <c r="C110" s="6">
        <f t="shared" ca="1" si="5"/>
        <v>-63922.043576258453</v>
      </c>
      <c r="F110">
        <f t="shared" si="7"/>
        <v>19</v>
      </c>
      <c r="G110">
        <f t="shared" ca="1" si="6"/>
        <v>0.88200000000000001</v>
      </c>
    </row>
    <row r="111" spans="1:7">
      <c r="A111">
        <f t="shared" si="3"/>
        <v>16</v>
      </c>
      <c r="B111">
        <f t="shared" ca="1" si="4"/>
        <v>0.93</v>
      </c>
      <c r="C111" s="6">
        <f t="shared" ca="1" si="5"/>
        <v>-63922.043576258453</v>
      </c>
      <c r="F111">
        <f t="shared" si="7"/>
        <v>20</v>
      </c>
      <c r="G111">
        <f t="shared" ca="1" si="6"/>
        <v>0.97399999999999998</v>
      </c>
    </row>
    <row r="112" spans="1:7">
      <c r="A112">
        <f t="shared" si="3"/>
        <v>17</v>
      </c>
      <c r="B112">
        <f t="shared" ca="1" si="4"/>
        <v>0.89</v>
      </c>
      <c r="C112" s="6">
        <f t="shared" ca="1" si="5"/>
        <v>-63922.043576258453</v>
      </c>
      <c r="F112">
        <f t="shared" si="7"/>
        <v>21</v>
      </c>
      <c r="G112">
        <f t="shared" ca="1" si="6"/>
        <v>0.49299999999999999</v>
      </c>
    </row>
    <row r="113" spans="1:7">
      <c r="A113">
        <f t="shared" si="3"/>
        <v>18</v>
      </c>
      <c r="B113">
        <f t="shared" ca="1" si="4"/>
        <v>0.56000000000000005</v>
      </c>
      <c r="C113" s="6">
        <f t="shared" ca="1" si="5"/>
        <v>-63922.043576258453</v>
      </c>
      <c r="F113">
        <f t="shared" si="7"/>
        <v>22</v>
      </c>
      <c r="G113">
        <f t="shared" ca="1" si="6"/>
        <v>0.51700000000000002</v>
      </c>
    </row>
    <row r="114" spans="1:7">
      <c r="A114">
        <f t="shared" si="3"/>
        <v>19</v>
      </c>
      <c r="B114">
        <f t="shared" ca="1" si="4"/>
        <v>0.42</v>
      </c>
      <c r="C114" s="6">
        <f t="shared" ca="1" si="5"/>
        <v>-63922.043576258453</v>
      </c>
      <c r="F114">
        <f t="shared" si="7"/>
        <v>23</v>
      </c>
      <c r="G114">
        <f t="shared" ca="1" si="6"/>
        <v>0.60599999999999998</v>
      </c>
    </row>
    <row r="115" spans="1:7">
      <c r="A115">
        <f t="shared" si="3"/>
        <v>20</v>
      </c>
      <c r="B115">
        <f t="shared" ca="1" si="4"/>
        <v>0.52</v>
      </c>
      <c r="C115" s="6">
        <f t="shared" ca="1" si="5"/>
        <v>-63922.043576258453</v>
      </c>
      <c r="F115">
        <f t="shared" si="7"/>
        <v>24</v>
      </c>
      <c r="G115">
        <f t="shared" ca="1" si="6"/>
        <v>0.58799999999999997</v>
      </c>
    </row>
    <row r="116" spans="1:7">
      <c r="A116">
        <f t="shared" si="3"/>
        <v>21</v>
      </c>
      <c r="B116">
        <f t="shared" ca="1" si="4"/>
        <v>0.73</v>
      </c>
      <c r="C116" s="6">
        <f t="shared" ca="1" si="5"/>
        <v>-63922.043576258453</v>
      </c>
      <c r="F116">
        <f t="shared" si="7"/>
        <v>25</v>
      </c>
      <c r="G116">
        <f t="shared" ca="1" si="6"/>
        <v>0.88900000000000001</v>
      </c>
    </row>
    <row r="117" spans="1:7">
      <c r="A117">
        <f t="shared" si="3"/>
        <v>22</v>
      </c>
      <c r="B117">
        <f t="shared" ca="1" si="4"/>
        <v>0.59</v>
      </c>
      <c r="C117" s="6">
        <f t="shared" ca="1" si="5"/>
        <v>-63922.043576258453</v>
      </c>
      <c r="F117">
        <f t="shared" si="7"/>
        <v>26</v>
      </c>
      <c r="G117">
        <f t="shared" ca="1" si="6"/>
        <v>0.47699999999999998</v>
      </c>
    </row>
    <row r="118" spans="1:7">
      <c r="A118">
        <f t="shared" si="3"/>
        <v>23</v>
      </c>
      <c r="B118">
        <f t="shared" ca="1" si="4"/>
        <v>0.48</v>
      </c>
      <c r="C118" s="6">
        <f t="shared" ca="1" si="5"/>
        <v>-63922.043576258453</v>
      </c>
      <c r="F118">
        <f t="shared" si="7"/>
        <v>27</v>
      </c>
      <c r="G118">
        <f t="shared" ca="1" si="6"/>
        <v>0.96</v>
      </c>
    </row>
    <row r="119" spans="1:7">
      <c r="A119">
        <f t="shared" si="3"/>
        <v>24</v>
      </c>
      <c r="B119">
        <f t="shared" ca="1" si="4"/>
        <v>0.74</v>
      </c>
      <c r="C119" s="6">
        <f t="shared" ca="1" si="5"/>
        <v>-63922.043576258453</v>
      </c>
      <c r="F119">
        <f t="shared" si="7"/>
        <v>28</v>
      </c>
      <c r="G119">
        <f t="shared" ca="1" si="6"/>
        <v>0.69299999999999995</v>
      </c>
    </row>
    <row r="120" spans="1:7">
      <c r="A120">
        <f t="shared" si="3"/>
        <v>25</v>
      </c>
      <c r="B120">
        <f t="shared" ca="1" si="4"/>
        <v>0.98</v>
      </c>
      <c r="C120" s="6">
        <f t="shared" ca="1" si="5"/>
        <v>-63922.043576258453</v>
      </c>
      <c r="F120">
        <f t="shared" si="7"/>
        <v>29</v>
      </c>
      <c r="G120">
        <f t="shared" ca="1" si="6"/>
        <v>0.748</v>
      </c>
    </row>
    <row r="121" spans="1:7">
      <c r="A121">
        <f t="shared" si="3"/>
        <v>26</v>
      </c>
      <c r="B121">
        <f t="shared" ca="1" si="4"/>
        <v>0.57999999999999996</v>
      </c>
      <c r="C121" s="6">
        <f t="shared" ca="1" si="5"/>
        <v>-63922.043576258453</v>
      </c>
      <c r="F121">
        <f t="shared" si="7"/>
        <v>30</v>
      </c>
      <c r="G121">
        <f t="shared" ca="1" si="6"/>
        <v>0.89900000000000002</v>
      </c>
    </row>
    <row r="122" spans="1:7">
      <c r="A122">
        <f t="shared" si="3"/>
        <v>27</v>
      </c>
      <c r="B122">
        <f t="shared" ca="1" si="4"/>
        <v>0.5</v>
      </c>
      <c r="C122" s="6">
        <f t="shared" ca="1" si="5"/>
        <v>-63922.043576258453</v>
      </c>
      <c r="F122">
        <f t="shared" si="7"/>
        <v>31</v>
      </c>
      <c r="G122">
        <f t="shared" ca="1" si="6"/>
        <v>0.51600000000000001</v>
      </c>
    </row>
    <row r="123" spans="1:7">
      <c r="A123">
        <f t="shared" si="3"/>
        <v>28</v>
      </c>
      <c r="B123">
        <f t="shared" ca="1" si="4"/>
        <v>0.49</v>
      </c>
      <c r="C123" s="6">
        <f t="shared" ca="1" si="5"/>
        <v>-63922.043576258453</v>
      </c>
      <c r="F123">
        <f t="shared" si="7"/>
        <v>32</v>
      </c>
      <c r="G123">
        <f t="shared" ca="1" si="6"/>
        <v>0.498</v>
      </c>
    </row>
    <row r="124" spans="1:7">
      <c r="A124">
        <f t="shared" si="3"/>
        <v>29</v>
      </c>
      <c r="B124">
        <f t="shared" ca="1" si="4"/>
        <v>0.83</v>
      </c>
      <c r="C124" s="6">
        <f t="shared" ca="1" si="5"/>
        <v>-63922.043576258453</v>
      </c>
      <c r="F124">
        <f t="shared" si="7"/>
        <v>33</v>
      </c>
      <c r="G124">
        <f t="shared" ca="1" si="6"/>
        <v>0.90800000000000003</v>
      </c>
    </row>
    <row r="125" spans="1:7">
      <c r="A125">
        <f t="shared" si="3"/>
        <v>30</v>
      </c>
      <c r="B125">
        <f t="shared" ca="1" si="4"/>
        <v>0.8</v>
      </c>
      <c r="C125" s="6">
        <f t="shared" ca="1" si="5"/>
        <v>-63922.043576258453</v>
      </c>
      <c r="F125">
        <f t="shared" si="7"/>
        <v>34</v>
      </c>
      <c r="G125">
        <f t="shared" ca="1" si="6"/>
        <v>0.62</v>
      </c>
    </row>
    <row r="126" spans="1:7">
      <c r="A126">
        <f t="shared" si="3"/>
        <v>31</v>
      </c>
      <c r="B126">
        <f t="shared" ca="1" si="4"/>
        <v>0.56000000000000005</v>
      </c>
      <c r="C126" s="6">
        <f t="shared" ca="1" si="5"/>
        <v>-63922.043576258453</v>
      </c>
      <c r="F126">
        <f t="shared" si="7"/>
        <v>35</v>
      </c>
      <c r="G126">
        <f t="shared" ca="1" si="6"/>
        <v>0.69399999999999995</v>
      </c>
    </row>
    <row r="127" spans="1:7">
      <c r="A127">
        <f t="shared" si="3"/>
        <v>32</v>
      </c>
      <c r="B127">
        <f t="shared" ca="1" si="4"/>
        <v>0.69</v>
      </c>
      <c r="C127" s="6">
        <f t="shared" ca="1" si="5"/>
        <v>-63922.043576258453</v>
      </c>
      <c r="F127">
        <f t="shared" si="7"/>
        <v>36</v>
      </c>
      <c r="G127">
        <f t="shared" ca="1" si="6"/>
        <v>0.57399999999999995</v>
      </c>
    </row>
    <row r="128" spans="1:7">
      <c r="A128">
        <f t="shared" si="3"/>
        <v>33</v>
      </c>
      <c r="B128">
        <f t="shared" ca="1" si="4"/>
        <v>0.45</v>
      </c>
      <c r="C128" s="6">
        <f t="shared" ca="1" si="5"/>
        <v>-63922.043576258453</v>
      </c>
      <c r="F128">
        <f t="shared" si="7"/>
        <v>37</v>
      </c>
      <c r="G128">
        <f t="shared" ca="1" si="6"/>
        <v>0.67600000000000005</v>
      </c>
    </row>
    <row r="129" spans="1:7">
      <c r="A129">
        <f t="shared" si="3"/>
        <v>34</v>
      </c>
      <c r="B129">
        <f t="shared" ca="1" si="4"/>
        <v>0.87</v>
      </c>
      <c r="C129" s="6">
        <f t="shared" ca="1" si="5"/>
        <v>-63922.043576258453</v>
      </c>
      <c r="F129">
        <f t="shared" si="7"/>
        <v>38</v>
      </c>
      <c r="G129">
        <f t="shared" ca="1" si="6"/>
        <v>0.66600000000000004</v>
      </c>
    </row>
    <row r="130" spans="1:7">
      <c r="A130">
        <f t="shared" si="3"/>
        <v>35</v>
      </c>
      <c r="B130">
        <f t="shared" ca="1" si="4"/>
        <v>0.9</v>
      </c>
      <c r="C130" s="6">
        <f t="shared" ca="1" si="5"/>
        <v>-63922.043576258453</v>
      </c>
      <c r="F130">
        <f t="shared" si="7"/>
        <v>39</v>
      </c>
      <c r="G130">
        <f t="shared" ca="1" si="6"/>
        <v>0.42499999999999999</v>
      </c>
    </row>
    <row r="131" spans="1:7">
      <c r="A131">
        <f t="shared" si="3"/>
        <v>36</v>
      </c>
      <c r="B131">
        <f t="shared" ca="1" si="4"/>
        <v>0.4</v>
      </c>
      <c r="C131" s="6">
        <f t="shared" ca="1" si="5"/>
        <v>-63922.043576258453</v>
      </c>
      <c r="F131">
        <f t="shared" si="7"/>
        <v>40</v>
      </c>
      <c r="G131">
        <f t="shared" ca="1" si="6"/>
        <v>0.56799999999999995</v>
      </c>
    </row>
    <row r="132" spans="1:7">
      <c r="A132">
        <f t="shared" si="3"/>
        <v>37</v>
      </c>
      <c r="B132">
        <f t="shared" ca="1" si="4"/>
        <v>0.95</v>
      </c>
      <c r="C132" s="6">
        <f t="shared" ca="1" si="5"/>
        <v>-63922.043576258453</v>
      </c>
      <c r="F132">
        <f t="shared" si="7"/>
        <v>41</v>
      </c>
      <c r="G132">
        <f t="shared" ca="1" si="6"/>
        <v>0.93100000000000005</v>
      </c>
    </row>
    <row r="133" spans="1:7">
      <c r="A133">
        <f t="shared" si="3"/>
        <v>38</v>
      </c>
      <c r="B133">
        <f t="shared" ca="1" si="4"/>
        <v>0.42</v>
      </c>
      <c r="C133" s="6">
        <f t="shared" ca="1" si="5"/>
        <v>-63922.043576258453</v>
      </c>
      <c r="F133">
        <f t="shared" si="7"/>
        <v>42</v>
      </c>
      <c r="G133">
        <f t="shared" ca="1" si="6"/>
        <v>0.64900000000000002</v>
      </c>
    </row>
    <row r="134" spans="1:7">
      <c r="A134">
        <f t="shared" si="3"/>
        <v>39</v>
      </c>
      <c r="B134">
        <f t="shared" ca="1" si="4"/>
        <v>0.42</v>
      </c>
      <c r="C134" s="6">
        <f t="shared" ca="1" si="5"/>
        <v>-63922.043576258453</v>
      </c>
      <c r="F134">
        <f t="shared" si="7"/>
        <v>43</v>
      </c>
      <c r="G134">
        <f t="shared" ca="1" si="6"/>
        <v>0.97</v>
      </c>
    </row>
    <row r="135" spans="1:7">
      <c r="A135">
        <f t="shared" si="3"/>
        <v>40</v>
      </c>
      <c r="B135">
        <f t="shared" ca="1" si="4"/>
        <v>0.6</v>
      </c>
      <c r="C135" s="6">
        <f t="shared" ca="1" si="5"/>
        <v>-63922.043576258453</v>
      </c>
      <c r="F135">
        <f t="shared" si="7"/>
        <v>44</v>
      </c>
      <c r="G135">
        <f t="shared" ca="1" si="6"/>
        <v>0.83599999999999997</v>
      </c>
    </row>
    <row r="136" spans="1:7">
      <c r="A136">
        <f t="shared" si="3"/>
        <v>41</v>
      </c>
      <c r="B136">
        <f t="shared" ca="1" si="4"/>
        <v>0.47</v>
      </c>
      <c r="C136" s="6">
        <f t="shared" ca="1" si="5"/>
        <v>-63922.043576258453</v>
      </c>
      <c r="F136">
        <f t="shared" si="7"/>
        <v>45</v>
      </c>
      <c r="G136">
        <f t="shared" ca="1" si="6"/>
        <v>0.69099999999999995</v>
      </c>
    </row>
    <row r="137" spans="1:7">
      <c r="A137">
        <f t="shared" si="3"/>
        <v>42</v>
      </c>
      <c r="B137">
        <f t="shared" ca="1" si="4"/>
        <v>0.6</v>
      </c>
      <c r="C137" s="6">
        <f t="shared" ca="1" si="5"/>
        <v>-63922.043576258453</v>
      </c>
      <c r="F137">
        <f t="shared" si="7"/>
        <v>46</v>
      </c>
      <c r="G137">
        <f t="shared" ca="1" si="6"/>
        <v>0.84499999999999997</v>
      </c>
    </row>
    <row r="138" spans="1:7">
      <c r="A138">
        <f t="shared" si="3"/>
        <v>43</v>
      </c>
      <c r="B138">
        <f t="shared" ca="1" si="4"/>
        <v>0.55000000000000004</v>
      </c>
      <c r="C138" s="6">
        <f t="shared" ca="1" si="5"/>
        <v>-63922.043576258453</v>
      </c>
      <c r="F138">
        <f t="shared" si="7"/>
        <v>47</v>
      </c>
      <c r="G138">
        <f t="shared" ca="1" si="6"/>
        <v>0.81200000000000006</v>
      </c>
    </row>
    <row r="139" spans="1:7">
      <c r="A139">
        <f t="shared" si="3"/>
        <v>44</v>
      </c>
      <c r="B139">
        <f t="shared" ca="1" si="4"/>
        <v>0.45</v>
      </c>
      <c r="C139" s="6">
        <f t="shared" ca="1" si="5"/>
        <v>-63922.043576258453</v>
      </c>
      <c r="F139">
        <f t="shared" si="7"/>
        <v>48</v>
      </c>
      <c r="G139">
        <f t="shared" ca="1" si="6"/>
        <v>0.55300000000000005</v>
      </c>
    </row>
    <row r="140" spans="1:7">
      <c r="A140">
        <f t="shared" si="3"/>
        <v>45</v>
      </c>
      <c r="B140">
        <f t="shared" ca="1" si="4"/>
        <v>0.72</v>
      </c>
      <c r="C140" s="6">
        <f t="shared" ca="1" si="5"/>
        <v>-63922.043576258453</v>
      </c>
      <c r="F140">
        <f t="shared" si="7"/>
        <v>49</v>
      </c>
      <c r="G140">
        <f t="shared" ca="1" si="6"/>
        <v>0.52400000000000002</v>
      </c>
    </row>
    <row r="141" spans="1:7">
      <c r="A141">
        <f t="shared" si="3"/>
        <v>46</v>
      </c>
      <c r="B141">
        <f t="shared" ca="1" si="4"/>
        <v>0.47</v>
      </c>
      <c r="C141" s="6">
        <f t="shared" ca="1" si="5"/>
        <v>-63922.043576258453</v>
      </c>
      <c r="F141">
        <f t="shared" si="7"/>
        <v>50</v>
      </c>
      <c r="G141">
        <f t="shared" ca="1" si="6"/>
        <v>0.81499999999999995</v>
      </c>
    </row>
    <row r="142" spans="1:7">
      <c r="A142">
        <f t="shared" si="3"/>
        <v>47</v>
      </c>
      <c r="B142">
        <f t="shared" ca="1" si="4"/>
        <v>0.81</v>
      </c>
      <c r="C142" s="6">
        <f t="shared" ca="1" si="5"/>
        <v>-63922.043576258453</v>
      </c>
      <c r="F142">
        <f t="shared" si="7"/>
        <v>51</v>
      </c>
      <c r="G142">
        <f t="shared" ca="1" si="6"/>
        <v>0.68400000000000005</v>
      </c>
    </row>
    <row r="143" spans="1:7">
      <c r="A143">
        <f t="shared" si="3"/>
        <v>48</v>
      </c>
      <c r="B143">
        <f t="shared" ca="1" si="4"/>
        <v>0.61</v>
      </c>
      <c r="C143" s="6">
        <f t="shared" ca="1" si="5"/>
        <v>-63922.043576258453</v>
      </c>
      <c r="F143">
        <f t="shared" si="7"/>
        <v>52</v>
      </c>
      <c r="G143">
        <f t="shared" ca="1" si="6"/>
        <v>0.70299999999999996</v>
      </c>
    </row>
    <row r="144" spans="1:7">
      <c r="A144">
        <f t="shared" si="3"/>
        <v>49</v>
      </c>
      <c r="B144">
        <f t="shared" ca="1" si="4"/>
        <v>0.53</v>
      </c>
      <c r="C144" s="6">
        <f t="shared" ca="1" si="5"/>
        <v>-63922.043576258453</v>
      </c>
      <c r="F144">
        <f t="shared" si="7"/>
        <v>53</v>
      </c>
      <c r="G144">
        <f t="shared" ca="1" si="6"/>
        <v>0.80300000000000005</v>
      </c>
    </row>
    <row r="145" spans="1:7">
      <c r="A145">
        <f t="shared" si="3"/>
        <v>50</v>
      </c>
      <c r="B145">
        <f t="shared" ca="1" si="4"/>
        <v>0.7</v>
      </c>
      <c r="C145" s="6">
        <f t="shared" ca="1" si="5"/>
        <v>-63922.043576258453</v>
      </c>
      <c r="F145">
        <f t="shared" si="7"/>
        <v>54</v>
      </c>
      <c r="G145">
        <f t="shared" ca="1" si="6"/>
        <v>0.48799999999999999</v>
      </c>
    </row>
    <row r="146" spans="1:7">
      <c r="A146">
        <f t="shared" si="3"/>
        <v>51</v>
      </c>
      <c r="B146">
        <f t="shared" ca="1" si="4"/>
        <v>0.92</v>
      </c>
      <c r="C146" s="6">
        <f t="shared" ca="1" si="5"/>
        <v>-63922.043576258453</v>
      </c>
      <c r="F146">
        <f t="shared" si="7"/>
        <v>55</v>
      </c>
      <c r="G146">
        <f t="shared" ca="1" si="6"/>
        <v>0.98899999999999999</v>
      </c>
    </row>
    <row r="147" spans="1:7">
      <c r="A147">
        <f t="shared" si="3"/>
        <v>52</v>
      </c>
      <c r="B147">
        <f t="shared" ca="1" si="4"/>
        <v>0.77</v>
      </c>
      <c r="C147" s="6">
        <f t="shared" ca="1" si="5"/>
        <v>-63922.043576258453</v>
      </c>
      <c r="F147">
        <f t="shared" si="7"/>
        <v>56</v>
      </c>
      <c r="G147">
        <f t="shared" ca="1" si="6"/>
        <v>0.59799999999999998</v>
      </c>
    </row>
    <row r="148" spans="1:7">
      <c r="A148">
        <f t="shared" si="3"/>
        <v>53</v>
      </c>
      <c r="B148">
        <f t="shared" ca="1" si="4"/>
        <v>0.73</v>
      </c>
      <c r="C148" s="6">
        <f t="shared" ca="1" si="5"/>
        <v>-63922.043576258453</v>
      </c>
      <c r="F148">
        <f t="shared" si="7"/>
        <v>57</v>
      </c>
      <c r="G148">
        <f t="shared" ca="1" si="6"/>
        <v>0.755</v>
      </c>
    </row>
    <row r="149" spans="1:7">
      <c r="A149">
        <f t="shared" si="3"/>
        <v>54</v>
      </c>
      <c r="B149">
        <f t="shared" ca="1" si="4"/>
        <v>0.52</v>
      </c>
      <c r="C149" s="6">
        <f t="shared" ca="1" si="5"/>
        <v>-63922.043576258453</v>
      </c>
      <c r="F149">
        <f t="shared" si="7"/>
        <v>58</v>
      </c>
      <c r="G149">
        <f t="shared" ca="1" si="6"/>
        <v>0.95499999999999996</v>
      </c>
    </row>
    <row r="150" spans="1:7">
      <c r="A150">
        <f t="shared" si="3"/>
        <v>55</v>
      </c>
      <c r="B150">
        <f t="shared" ca="1" si="4"/>
        <v>0.63</v>
      </c>
      <c r="C150" s="6">
        <f t="shared" ca="1" si="5"/>
        <v>-63922.043576258453</v>
      </c>
      <c r="F150">
        <f t="shared" si="7"/>
        <v>59</v>
      </c>
      <c r="G150">
        <f t="shared" ca="1" si="6"/>
        <v>0.47099999999999997</v>
      </c>
    </row>
    <row r="151" spans="1:7">
      <c r="A151">
        <f t="shared" si="3"/>
        <v>56</v>
      </c>
      <c r="B151">
        <f t="shared" ca="1" si="4"/>
        <v>0.9</v>
      </c>
      <c r="C151" s="6">
        <f t="shared" ca="1" si="5"/>
        <v>-63922.043576258453</v>
      </c>
      <c r="F151">
        <f t="shared" si="7"/>
        <v>60</v>
      </c>
      <c r="G151">
        <f t="shared" ca="1" si="6"/>
        <v>0.79</v>
      </c>
    </row>
    <row r="152" spans="1:7">
      <c r="A152">
        <f t="shared" si="3"/>
        <v>57</v>
      </c>
      <c r="B152">
        <f t="shared" ca="1" si="4"/>
        <v>0.41</v>
      </c>
      <c r="C152" s="6">
        <f t="shared" ca="1" si="5"/>
        <v>-63922.043576258453</v>
      </c>
      <c r="F152">
        <f t="shared" si="7"/>
        <v>61</v>
      </c>
      <c r="G152">
        <f t="shared" ca="1" si="6"/>
        <v>0.56299999999999994</v>
      </c>
    </row>
    <row r="153" spans="1:7">
      <c r="A153">
        <f t="shared" si="3"/>
        <v>58</v>
      </c>
      <c r="B153">
        <f t="shared" ca="1" si="4"/>
        <v>0.46</v>
      </c>
      <c r="C153" s="6">
        <f t="shared" ca="1" si="5"/>
        <v>-63922.043576258453</v>
      </c>
      <c r="F153">
        <f t="shared" si="7"/>
        <v>62</v>
      </c>
      <c r="G153">
        <f t="shared" ca="1" si="6"/>
        <v>0.65200000000000002</v>
      </c>
    </row>
    <row r="154" spans="1:7">
      <c r="A154">
        <f t="shared" si="3"/>
        <v>59</v>
      </c>
      <c r="B154">
        <f t="shared" ca="1" si="4"/>
        <v>0.45</v>
      </c>
      <c r="C154" s="6">
        <f t="shared" ca="1" si="5"/>
        <v>-63922.043576258453</v>
      </c>
      <c r="F154">
        <f t="shared" si="7"/>
        <v>63</v>
      </c>
      <c r="G154">
        <f t="shared" ca="1" si="6"/>
        <v>0.64400000000000002</v>
      </c>
    </row>
    <row r="155" spans="1:7">
      <c r="A155">
        <f t="shared" ref="A155:A218" si="8">ROW()-95</f>
        <v>60</v>
      </c>
      <c r="B155">
        <f t="shared" ref="B155:B218" ca="1" si="9">RANDBETWEEN(40,100)/100</f>
        <v>0.59</v>
      </c>
      <c r="C155" s="6">
        <f t="shared" ref="C155:C218" ca="1" si="10">$B$71 + 0*B155</f>
        <v>-63922.043576258453</v>
      </c>
      <c r="F155">
        <f t="shared" si="7"/>
        <v>64</v>
      </c>
      <c r="G155">
        <f t="shared" ca="1" si="6"/>
        <v>0.54300000000000004</v>
      </c>
    </row>
    <row r="156" spans="1:7">
      <c r="A156">
        <f t="shared" si="8"/>
        <v>61</v>
      </c>
      <c r="B156">
        <f t="shared" ca="1" si="9"/>
        <v>0.65</v>
      </c>
      <c r="C156" s="6">
        <f t="shared" ca="1" si="10"/>
        <v>-63922.043576258453</v>
      </c>
      <c r="F156">
        <f t="shared" si="7"/>
        <v>65</v>
      </c>
      <c r="G156">
        <f t="shared" ca="1" si="6"/>
        <v>0.94099999999999995</v>
      </c>
    </row>
    <row r="157" spans="1:7">
      <c r="A157">
        <f t="shared" si="8"/>
        <v>62</v>
      </c>
      <c r="B157">
        <f t="shared" ca="1" si="9"/>
        <v>0.83</v>
      </c>
      <c r="C157" s="6">
        <f t="shared" ca="1" si="10"/>
        <v>-63922.043576258453</v>
      </c>
      <c r="F157">
        <f t="shared" si="7"/>
        <v>66</v>
      </c>
      <c r="G157">
        <f t="shared" ref="G157:G220" ca="1" si="11">ROUND(RAND()*(1-0.4)+0.4,3)</f>
        <v>0.45700000000000002</v>
      </c>
    </row>
    <row r="158" spans="1:7">
      <c r="A158">
        <f t="shared" si="8"/>
        <v>63</v>
      </c>
      <c r="B158">
        <f t="shared" ca="1" si="9"/>
        <v>0.67</v>
      </c>
      <c r="C158" s="6">
        <f t="shared" ca="1" si="10"/>
        <v>-63922.043576258453</v>
      </c>
      <c r="F158">
        <f t="shared" ref="F158:F221" si="12">F157+1</f>
        <v>67</v>
      </c>
      <c r="G158">
        <f t="shared" ca="1" si="11"/>
        <v>0.47099999999999997</v>
      </c>
    </row>
    <row r="159" spans="1:7">
      <c r="A159">
        <f t="shared" si="8"/>
        <v>64</v>
      </c>
      <c r="B159">
        <f t="shared" ca="1" si="9"/>
        <v>0.55000000000000004</v>
      </c>
      <c r="C159" s="6">
        <f t="shared" ca="1" si="10"/>
        <v>-63922.043576258453</v>
      </c>
      <c r="F159">
        <f t="shared" si="12"/>
        <v>68</v>
      </c>
      <c r="G159">
        <f t="shared" ca="1" si="11"/>
        <v>0.996</v>
      </c>
    </row>
    <row r="160" spans="1:7">
      <c r="A160">
        <f t="shared" si="8"/>
        <v>65</v>
      </c>
      <c r="B160">
        <f t="shared" ca="1" si="9"/>
        <v>0.54</v>
      </c>
      <c r="C160" s="6">
        <f t="shared" ca="1" si="10"/>
        <v>-63922.043576258453</v>
      </c>
      <c r="F160">
        <f t="shared" si="12"/>
        <v>69</v>
      </c>
      <c r="G160">
        <f t="shared" ca="1" si="11"/>
        <v>0.90100000000000002</v>
      </c>
    </row>
    <row r="161" spans="1:7">
      <c r="A161">
        <f t="shared" si="8"/>
        <v>66</v>
      </c>
      <c r="B161">
        <f t="shared" ca="1" si="9"/>
        <v>0.54</v>
      </c>
      <c r="C161" s="6">
        <f t="shared" ca="1" si="10"/>
        <v>-63922.043576258453</v>
      </c>
      <c r="F161">
        <f t="shared" si="12"/>
        <v>70</v>
      </c>
      <c r="G161">
        <f t="shared" ca="1" si="11"/>
        <v>0.95</v>
      </c>
    </row>
    <row r="162" spans="1:7">
      <c r="A162">
        <f t="shared" si="8"/>
        <v>67</v>
      </c>
      <c r="B162">
        <f t="shared" ca="1" si="9"/>
        <v>0.77</v>
      </c>
      <c r="C162" s="6">
        <f t="shared" ca="1" si="10"/>
        <v>-63922.043576258453</v>
      </c>
      <c r="F162">
        <f t="shared" si="12"/>
        <v>71</v>
      </c>
      <c r="G162">
        <f t="shared" ca="1" si="11"/>
        <v>0.45400000000000001</v>
      </c>
    </row>
    <row r="163" spans="1:7">
      <c r="A163">
        <f t="shared" si="8"/>
        <v>68</v>
      </c>
      <c r="B163">
        <f t="shared" ca="1" si="9"/>
        <v>0.57999999999999996</v>
      </c>
      <c r="C163" s="6">
        <f t="shared" ca="1" si="10"/>
        <v>-63922.043576258453</v>
      </c>
      <c r="F163">
        <f t="shared" si="12"/>
        <v>72</v>
      </c>
      <c r="G163">
        <f t="shared" ca="1" si="11"/>
        <v>0.82299999999999995</v>
      </c>
    </row>
    <row r="164" spans="1:7">
      <c r="A164">
        <f t="shared" si="8"/>
        <v>69</v>
      </c>
      <c r="B164">
        <f t="shared" ca="1" si="9"/>
        <v>0.69</v>
      </c>
      <c r="C164" s="6">
        <f t="shared" ca="1" si="10"/>
        <v>-63922.043576258453</v>
      </c>
      <c r="F164">
        <f t="shared" si="12"/>
        <v>73</v>
      </c>
      <c r="G164">
        <f t="shared" ca="1" si="11"/>
        <v>0.46</v>
      </c>
    </row>
    <row r="165" spans="1:7">
      <c r="A165">
        <f t="shared" si="8"/>
        <v>70</v>
      </c>
      <c r="B165">
        <f t="shared" ca="1" si="9"/>
        <v>0.75</v>
      </c>
      <c r="C165" s="6">
        <f t="shared" ca="1" si="10"/>
        <v>-63922.043576258453</v>
      </c>
      <c r="F165">
        <f t="shared" si="12"/>
        <v>74</v>
      </c>
      <c r="G165">
        <f t="shared" ca="1" si="11"/>
        <v>0.97399999999999998</v>
      </c>
    </row>
    <row r="166" spans="1:7">
      <c r="A166">
        <f t="shared" si="8"/>
        <v>71</v>
      </c>
      <c r="B166">
        <f t="shared" ca="1" si="9"/>
        <v>0.88</v>
      </c>
      <c r="C166" s="6">
        <f t="shared" ca="1" si="10"/>
        <v>-63922.043576258453</v>
      </c>
      <c r="F166">
        <f t="shared" si="12"/>
        <v>75</v>
      </c>
      <c r="G166">
        <f t="shared" ca="1" si="11"/>
        <v>0.49099999999999999</v>
      </c>
    </row>
    <row r="167" spans="1:7">
      <c r="A167">
        <f t="shared" si="8"/>
        <v>72</v>
      </c>
      <c r="B167">
        <f t="shared" ca="1" si="9"/>
        <v>0.49</v>
      </c>
      <c r="C167" s="6">
        <f t="shared" ca="1" si="10"/>
        <v>-63922.043576258453</v>
      </c>
      <c r="F167">
        <f t="shared" si="12"/>
        <v>76</v>
      </c>
      <c r="G167">
        <f t="shared" ca="1" si="11"/>
        <v>0.58799999999999997</v>
      </c>
    </row>
    <row r="168" spans="1:7">
      <c r="A168">
        <f t="shared" si="8"/>
        <v>73</v>
      </c>
      <c r="B168">
        <f t="shared" ca="1" si="9"/>
        <v>0.69</v>
      </c>
      <c r="C168" s="6">
        <f t="shared" ca="1" si="10"/>
        <v>-63922.043576258453</v>
      </c>
      <c r="F168">
        <f t="shared" si="12"/>
        <v>77</v>
      </c>
      <c r="G168">
        <f t="shared" ca="1" si="11"/>
        <v>0.90600000000000003</v>
      </c>
    </row>
    <row r="169" spans="1:7">
      <c r="A169">
        <f t="shared" si="8"/>
        <v>74</v>
      </c>
      <c r="B169">
        <f t="shared" ca="1" si="9"/>
        <v>0.89</v>
      </c>
      <c r="C169" s="6">
        <f t="shared" ca="1" si="10"/>
        <v>-63922.043576258453</v>
      </c>
      <c r="F169">
        <f t="shared" si="12"/>
        <v>78</v>
      </c>
      <c r="G169">
        <f t="shared" ca="1" si="11"/>
        <v>0.64700000000000002</v>
      </c>
    </row>
    <row r="170" spans="1:7">
      <c r="A170">
        <f t="shared" si="8"/>
        <v>75</v>
      </c>
      <c r="B170">
        <f t="shared" ca="1" si="9"/>
        <v>0.51</v>
      </c>
      <c r="C170" s="6">
        <f t="shared" ca="1" si="10"/>
        <v>-63922.043576258453</v>
      </c>
      <c r="F170">
        <f t="shared" si="12"/>
        <v>79</v>
      </c>
      <c r="G170">
        <f t="shared" ca="1" si="11"/>
        <v>0.53200000000000003</v>
      </c>
    </row>
    <row r="171" spans="1:7">
      <c r="A171">
        <f t="shared" si="8"/>
        <v>76</v>
      </c>
      <c r="B171">
        <f t="shared" ca="1" si="9"/>
        <v>0.83</v>
      </c>
      <c r="C171" s="6">
        <f t="shared" ca="1" si="10"/>
        <v>-63922.043576258453</v>
      </c>
      <c r="F171">
        <f t="shared" si="12"/>
        <v>80</v>
      </c>
      <c r="G171">
        <f t="shared" ca="1" si="11"/>
        <v>0.42</v>
      </c>
    </row>
    <row r="172" spans="1:7">
      <c r="A172">
        <f t="shared" si="8"/>
        <v>77</v>
      </c>
      <c r="B172">
        <f t="shared" ca="1" si="9"/>
        <v>0.63</v>
      </c>
      <c r="C172" s="6">
        <f t="shared" ca="1" si="10"/>
        <v>-63922.043576258453</v>
      </c>
      <c r="F172">
        <f t="shared" si="12"/>
        <v>81</v>
      </c>
      <c r="G172">
        <f t="shared" ca="1" si="11"/>
        <v>0.59699999999999998</v>
      </c>
    </row>
    <row r="173" spans="1:7">
      <c r="A173">
        <f t="shared" si="8"/>
        <v>78</v>
      </c>
      <c r="B173">
        <f t="shared" ca="1" si="9"/>
        <v>0.75</v>
      </c>
      <c r="C173" s="6">
        <f t="shared" ca="1" si="10"/>
        <v>-63922.043576258453</v>
      </c>
      <c r="F173">
        <f t="shared" si="12"/>
        <v>82</v>
      </c>
      <c r="G173">
        <f t="shared" ca="1" si="11"/>
        <v>0.86599999999999999</v>
      </c>
    </row>
    <row r="174" spans="1:7">
      <c r="A174">
        <f t="shared" si="8"/>
        <v>79</v>
      </c>
      <c r="B174">
        <f t="shared" ca="1" si="9"/>
        <v>0.96</v>
      </c>
      <c r="C174" s="6">
        <f t="shared" ca="1" si="10"/>
        <v>-63922.043576258453</v>
      </c>
      <c r="F174">
        <f t="shared" si="12"/>
        <v>83</v>
      </c>
      <c r="G174">
        <f t="shared" ca="1" si="11"/>
        <v>0.49099999999999999</v>
      </c>
    </row>
    <row r="175" spans="1:7">
      <c r="A175">
        <f t="shared" si="8"/>
        <v>80</v>
      </c>
      <c r="B175">
        <f t="shared" ca="1" si="9"/>
        <v>0.65</v>
      </c>
      <c r="C175" s="6">
        <f t="shared" ca="1" si="10"/>
        <v>-63922.043576258453</v>
      </c>
      <c r="F175">
        <f t="shared" si="12"/>
        <v>84</v>
      </c>
      <c r="G175">
        <f t="shared" ca="1" si="11"/>
        <v>0.40500000000000003</v>
      </c>
    </row>
    <row r="176" spans="1:7">
      <c r="A176">
        <f t="shared" si="8"/>
        <v>81</v>
      </c>
      <c r="B176">
        <f t="shared" ca="1" si="9"/>
        <v>0.49</v>
      </c>
      <c r="C176" s="6">
        <f t="shared" ca="1" si="10"/>
        <v>-63922.043576258453</v>
      </c>
      <c r="F176">
        <f t="shared" si="12"/>
        <v>85</v>
      </c>
      <c r="G176">
        <f t="shared" ca="1" si="11"/>
        <v>0.875</v>
      </c>
    </row>
    <row r="177" spans="1:7">
      <c r="A177">
        <f t="shared" si="8"/>
        <v>82</v>
      </c>
      <c r="B177">
        <f t="shared" ca="1" si="9"/>
        <v>0.72</v>
      </c>
      <c r="C177" s="6">
        <f t="shared" ca="1" si="10"/>
        <v>-63922.043576258453</v>
      </c>
      <c r="F177">
        <f t="shared" si="12"/>
        <v>86</v>
      </c>
      <c r="G177">
        <f t="shared" ca="1" si="11"/>
        <v>0.52500000000000002</v>
      </c>
    </row>
    <row r="178" spans="1:7">
      <c r="A178">
        <f t="shared" si="8"/>
        <v>83</v>
      </c>
      <c r="B178">
        <f t="shared" ca="1" si="9"/>
        <v>0.82</v>
      </c>
      <c r="C178" s="6">
        <f t="shared" ca="1" si="10"/>
        <v>-63922.043576258453</v>
      </c>
      <c r="F178">
        <f t="shared" si="12"/>
        <v>87</v>
      </c>
      <c r="G178">
        <f t="shared" ca="1" si="11"/>
        <v>0.47099999999999997</v>
      </c>
    </row>
    <row r="179" spans="1:7">
      <c r="A179">
        <f t="shared" si="8"/>
        <v>84</v>
      </c>
      <c r="B179">
        <f t="shared" ca="1" si="9"/>
        <v>0.96</v>
      </c>
      <c r="C179" s="6">
        <f t="shared" ca="1" si="10"/>
        <v>-63922.043576258453</v>
      </c>
      <c r="F179">
        <f t="shared" si="12"/>
        <v>88</v>
      </c>
      <c r="G179">
        <f t="shared" ca="1" si="11"/>
        <v>0.9</v>
      </c>
    </row>
    <row r="180" spans="1:7">
      <c r="A180">
        <f t="shared" si="8"/>
        <v>85</v>
      </c>
      <c r="B180">
        <f t="shared" ca="1" si="9"/>
        <v>0.76</v>
      </c>
      <c r="C180" s="6">
        <f t="shared" ca="1" si="10"/>
        <v>-63922.043576258453</v>
      </c>
      <c r="F180">
        <f t="shared" si="12"/>
        <v>89</v>
      </c>
      <c r="G180">
        <f t="shared" ca="1" si="11"/>
        <v>0.79300000000000004</v>
      </c>
    </row>
    <row r="181" spans="1:7">
      <c r="A181">
        <f t="shared" si="8"/>
        <v>86</v>
      </c>
      <c r="B181">
        <f t="shared" ca="1" si="9"/>
        <v>0.43</v>
      </c>
      <c r="C181" s="6">
        <f t="shared" ca="1" si="10"/>
        <v>-63922.043576258453</v>
      </c>
      <c r="F181">
        <f t="shared" si="12"/>
        <v>90</v>
      </c>
      <c r="G181">
        <f t="shared" ca="1" si="11"/>
        <v>0.93</v>
      </c>
    </row>
    <row r="182" spans="1:7">
      <c r="A182">
        <f t="shared" si="8"/>
        <v>87</v>
      </c>
      <c r="B182">
        <f t="shared" ca="1" si="9"/>
        <v>0.91</v>
      </c>
      <c r="C182" s="6">
        <f t="shared" ca="1" si="10"/>
        <v>-63922.043576258453</v>
      </c>
      <c r="F182">
        <f t="shared" si="12"/>
        <v>91</v>
      </c>
      <c r="G182">
        <f t="shared" ca="1" si="11"/>
        <v>0.45100000000000001</v>
      </c>
    </row>
    <row r="183" spans="1:7">
      <c r="A183">
        <f t="shared" si="8"/>
        <v>88</v>
      </c>
      <c r="B183">
        <f t="shared" ca="1" si="9"/>
        <v>0.92</v>
      </c>
      <c r="C183" s="6">
        <f t="shared" ca="1" si="10"/>
        <v>-63922.043576258453</v>
      </c>
      <c r="F183">
        <f t="shared" si="12"/>
        <v>92</v>
      </c>
      <c r="G183">
        <f t="shared" ca="1" si="11"/>
        <v>0.875</v>
      </c>
    </row>
    <row r="184" spans="1:7">
      <c r="A184">
        <f t="shared" si="8"/>
        <v>89</v>
      </c>
      <c r="B184">
        <f t="shared" ca="1" si="9"/>
        <v>0.76</v>
      </c>
      <c r="C184" s="6">
        <f t="shared" ca="1" si="10"/>
        <v>-63922.043576258453</v>
      </c>
      <c r="F184">
        <f t="shared" si="12"/>
        <v>93</v>
      </c>
      <c r="G184">
        <f t="shared" ca="1" si="11"/>
        <v>0.86</v>
      </c>
    </row>
    <row r="185" spans="1:7">
      <c r="A185">
        <f t="shared" si="8"/>
        <v>90</v>
      </c>
      <c r="B185">
        <f t="shared" ca="1" si="9"/>
        <v>0.98</v>
      </c>
      <c r="C185" s="6">
        <f t="shared" ca="1" si="10"/>
        <v>-63922.043576258453</v>
      </c>
      <c r="F185">
        <f t="shared" si="12"/>
        <v>94</v>
      </c>
      <c r="G185">
        <f t="shared" ca="1" si="11"/>
        <v>0.71899999999999997</v>
      </c>
    </row>
    <row r="186" spans="1:7">
      <c r="A186">
        <f t="shared" si="8"/>
        <v>91</v>
      </c>
      <c r="B186">
        <f t="shared" ca="1" si="9"/>
        <v>0.74</v>
      </c>
      <c r="C186" s="6">
        <f t="shared" ca="1" si="10"/>
        <v>-63922.043576258453</v>
      </c>
      <c r="F186">
        <f t="shared" si="12"/>
        <v>95</v>
      </c>
      <c r="G186">
        <f t="shared" ca="1" si="11"/>
        <v>0.59</v>
      </c>
    </row>
    <row r="187" spans="1:7">
      <c r="A187">
        <f t="shared" si="8"/>
        <v>92</v>
      </c>
      <c r="B187">
        <f t="shared" ca="1" si="9"/>
        <v>0.98</v>
      </c>
      <c r="C187" s="6">
        <f t="shared" ca="1" si="10"/>
        <v>-63922.043576258453</v>
      </c>
      <c r="F187">
        <f t="shared" si="12"/>
        <v>96</v>
      </c>
      <c r="G187">
        <f t="shared" ca="1" si="11"/>
        <v>0.81100000000000005</v>
      </c>
    </row>
    <row r="188" spans="1:7">
      <c r="A188">
        <f t="shared" si="8"/>
        <v>93</v>
      </c>
      <c r="B188">
        <f t="shared" ca="1" si="9"/>
        <v>0.44</v>
      </c>
      <c r="C188" s="6">
        <f t="shared" ca="1" si="10"/>
        <v>-63922.043576258453</v>
      </c>
      <c r="F188">
        <f t="shared" si="12"/>
        <v>97</v>
      </c>
      <c r="G188">
        <f t="shared" ca="1" si="11"/>
        <v>0.879</v>
      </c>
    </row>
    <row r="189" spans="1:7">
      <c r="A189">
        <f t="shared" si="8"/>
        <v>94</v>
      </c>
      <c r="B189">
        <f t="shared" ca="1" si="9"/>
        <v>0.98</v>
      </c>
      <c r="C189" s="6">
        <f t="shared" ca="1" si="10"/>
        <v>-63922.043576258453</v>
      </c>
      <c r="F189">
        <f t="shared" si="12"/>
        <v>98</v>
      </c>
      <c r="G189">
        <f t="shared" ca="1" si="11"/>
        <v>0.96599999999999997</v>
      </c>
    </row>
    <row r="190" spans="1:7">
      <c r="A190">
        <f t="shared" si="8"/>
        <v>95</v>
      </c>
      <c r="B190">
        <f t="shared" ca="1" si="9"/>
        <v>0.47</v>
      </c>
      <c r="C190" s="6">
        <f t="shared" ca="1" si="10"/>
        <v>-63922.043576258453</v>
      </c>
      <c r="F190">
        <f t="shared" si="12"/>
        <v>99</v>
      </c>
      <c r="G190">
        <f t="shared" ca="1" si="11"/>
        <v>0.748</v>
      </c>
    </row>
    <row r="191" spans="1:7">
      <c r="A191">
        <f t="shared" si="8"/>
        <v>96</v>
      </c>
      <c r="B191">
        <f t="shared" ca="1" si="9"/>
        <v>0.8</v>
      </c>
      <c r="C191" s="6">
        <f t="shared" ca="1" si="10"/>
        <v>-63922.043576258453</v>
      </c>
      <c r="F191">
        <f t="shared" si="12"/>
        <v>100</v>
      </c>
      <c r="G191">
        <f t="shared" ca="1" si="11"/>
        <v>0.90400000000000003</v>
      </c>
    </row>
    <row r="192" spans="1:7">
      <c r="A192">
        <f t="shared" si="8"/>
        <v>97</v>
      </c>
      <c r="B192">
        <f t="shared" ca="1" si="9"/>
        <v>0.49</v>
      </c>
      <c r="C192" s="6">
        <f t="shared" ca="1" si="10"/>
        <v>-63922.043576258453</v>
      </c>
      <c r="F192">
        <f t="shared" si="12"/>
        <v>101</v>
      </c>
      <c r="G192">
        <f t="shared" ca="1" si="11"/>
        <v>0.90400000000000003</v>
      </c>
    </row>
    <row r="193" spans="1:7">
      <c r="A193">
        <f t="shared" si="8"/>
        <v>98</v>
      </c>
      <c r="B193">
        <f t="shared" ca="1" si="9"/>
        <v>0.77</v>
      </c>
      <c r="C193" s="6">
        <f t="shared" ca="1" si="10"/>
        <v>-63922.043576258453</v>
      </c>
      <c r="F193">
        <f t="shared" si="12"/>
        <v>102</v>
      </c>
      <c r="G193">
        <f t="shared" ca="1" si="11"/>
        <v>0.47299999999999998</v>
      </c>
    </row>
    <row r="194" spans="1:7">
      <c r="A194">
        <f t="shared" si="8"/>
        <v>99</v>
      </c>
      <c r="B194">
        <f t="shared" ca="1" si="9"/>
        <v>0.71</v>
      </c>
      <c r="C194" s="6">
        <f t="shared" ca="1" si="10"/>
        <v>-63922.043576258453</v>
      </c>
      <c r="F194">
        <f t="shared" si="12"/>
        <v>103</v>
      </c>
      <c r="G194">
        <f t="shared" ca="1" si="11"/>
        <v>0.76400000000000001</v>
      </c>
    </row>
    <row r="195" spans="1:7">
      <c r="A195">
        <f t="shared" si="8"/>
        <v>100</v>
      </c>
      <c r="B195">
        <f t="shared" ca="1" si="9"/>
        <v>0.81</v>
      </c>
      <c r="C195" s="6">
        <f t="shared" ca="1" si="10"/>
        <v>-63922.043576258453</v>
      </c>
      <c r="F195">
        <f t="shared" si="12"/>
        <v>104</v>
      </c>
      <c r="G195">
        <f t="shared" ca="1" si="11"/>
        <v>0.94799999999999995</v>
      </c>
    </row>
    <row r="196" spans="1:7">
      <c r="A196">
        <f t="shared" si="8"/>
        <v>101</v>
      </c>
      <c r="B196">
        <f t="shared" ca="1" si="9"/>
        <v>0.6</v>
      </c>
      <c r="C196" s="6">
        <f t="shared" ca="1" si="10"/>
        <v>-63922.043576258453</v>
      </c>
      <c r="F196">
        <f t="shared" si="12"/>
        <v>105</v>
      </c>
      <c r="G196">
        <f t="shared" ca="1" si="11"/>
        <v>0.47199999999999998</v>
      </c>
    </row>
    <row r="197" spans="1:7">
      <c r="A197">
        <f t="shared" si="8"/>
        <v>102</v>
      </c>
      <c r="B197">
        <f t="shared" ca="1" si="9"/>
        <v>0.49</v>
      </c>
      <c r="C197" s="6">
        <f t="shared" ca="1" si="10"/>
        <v>-63922.043576258453</v>
      </c>
      <c r="F197">
        <f t="shared" si="12"/>
        <v>106</v>
      </c>
      <c r="G197">
        <f t="shared" ca="1" si="11"/>
        <v>0.65</v>
      </c>
    </row>
    <row r="198" spans="1:7">
      <c r="A198">
        <f t="shared" si="8"/>
        <v>103</v>
      </c>
      <c r="B198">
        <f t="shared" ca="1" si="9"/>
        <v>0.6</v>
      </c>
      <c r="C198" s="6">
        <f t="shared" ca="1" si="10"/>
        <v>-63922.043576258453</v>
      </c>
      <c r="F198">
        <f t="shared" si="12"/>
        <v>107</v>
      </c>
      <c r="G198">
        <f t="shared" ca="1" si="11"/>
        <v>0.54</v>
      </c>
    </row>
    <row r="199" spans="1:7">
      <c r="A199">
        <f t="shared" si="8"/>
        <v>104</v>
      </c>
      <c r="B199">
        <f t="shared" ca="1" si="9"/>
        <v>0.9</v>
      </c>
      <c r="C199" s="6">
        <f t="shared" ca="1" si="10"/>
        <v>-63922.043576258453</v>
      </c>
      <c r="F199">
        <f t="shared" si="12"/>
        <v>108</v>
      </c>
      <c r="G199">
        <f t="shared" ca="1" si="11"/>
        <v>0.64800000000000002</v>
      </c>
    </row>
    <row r="200" spans="1:7">
      <c r="A200">
        <f t="shared" si="8"/>
        <v>105</v>
      </c>
      <c r="B200">
        <f t="shared" ca="1" si="9"/>
        <v>0.97</v>
      </c>
      <c r="C200" s="6">
        <f t="shared" ca="1" si="10"/>
        <v>-63922.043576258453</v>
      </c>
      <c r="F200">
        <f t="shared" si="12"/>
        <v>109</v>
      </c>
      <c r="G200">
        <f t="shared" ca="1" si="11"/>
        <v>0.54700000000000004</v>
      </c>
    </row>
    <row r="201" spans="1:7">
      <c r="A201">
        <f t="shared" si="8"/>
        <v>106</v>
      </c>
      <c r="B201">
        <f t="shared" ca="1" si="9"/>
        <v>0.63</v>
      </c>
      <c r="C201" s="6">
        <f t="shared" ca="1" si="10"/>
        <v>-63922.043576258453</v>
      </c>
      <c r="F201">
        <f t="shared" si="12"/>
        <v>110</v>
      </c>
      <c r="G201">
        <f t="shared" ca="1" si="11"/>
        <v>0.54900000000000004</v>
      </c>
    </row>
    <row r="202" spans="1:7">
      <c r="A202">
        <f t="shared" si="8"/>
        <v>107</v>
      </c>
      <c r="B202">
        <f t="shared" ca="1" si="9"/>
        <v>0.92</v>
      </c>
      <c r="C202" s="6">
        <f t="shared" ca="1" si="10"/>
        <v>-63922.043576258453</v>
      </c>
      <c r="F202">
        <f t="shared" si="12"/>
        <v>111</v>
      </c>
      <c r="G202">
        <f t="shared" ca="1" si="11"/>
        <v>0.92700000000000005</v>
      </c>
    </row>
    <row r="203" spans="1:7">
      <c r="A203">
        <f t="shared" si="8"/>
        <v>108</v>
      </c>
      <c r="B203">
        <f t="shared" ca="1" si="9"/>
        <v>0.64</v>
      </c>
      <c r="C203" s="6">
        <f t="shared" ca="1" si="10"/>
        <v>-63922.043576258453</v>
      </c>
      <c r="F203">
        <f t="shared" si="12"/>
        <v>112</v>
      </c>
      <c r="G203">
        <f t="shared" ca="1" si="11"/>
        <v>0.94299999999999995</v>
      </c>
    </row>
    <row r="204" spans="1:7">
      <c r="A204">
        <f t="shared" si="8"/>
        <v>109</v>
      </c>
      <c r="B204">
        <f t="shared" ca="1" si="9"/>
        <v>0.95</v>
      </c>
      <c r="C204" s="6">
        <f t="shared" ca="1" si="10"/>
        <v>-63922.043576258453</v>
      </c>
      <c r="F204">
        <f t="shared" si="12"/>
        <v>113</v>
      </c>
      <c r="G204">
        <f t="shared" ca="1" si="11"/>
        <v>0.79300000000000004</v>
      </c>
    </row>
    <row r="205" spans="1:7">
      <c r="A205">
        <f t="shared" si="8"/>
        <v>110</v>
      </c>
      <c r="B205">
        <f t="shared" ca="1" si="9"/>
        <v>0.53</v>
      </c>
      <c r="C205" s="6">
        <f t="shared" ca="1" si="10"/>
        <v>-63922.043576258453</v>
      </c>
      <c r="F205">
        <f t="shared" si="12"/>
        <v>114</v>
      </c>
      <c r="G205">
        <f t="shared" ca="1" si="11"/>
        <v>0.8</v>
      </c>
    </row>
    <row r="206" spans="1:7">
      <c r="A206">
        <f t="shared" si="8"/>
        <v>111</v>
      </c>
      <c r="B206">
        <f t="shared" ca="1" si="9"/>
        <v>0.64</v>
      </c>
      <c r="C206" s="6">
        <f t="shared" ca="1" si="10"/>
        <v>-63922.043576258453</v>
      </c>
      <c r="F206">
        <f t="shared" si="12"/>
        <v>115</v>
      </c>
      <c r="G206">
        <f t="shared" ca="1" si="11"/>
        <v>0.58899999999999997</v>
      </c>
    </row>
    <row r="207" spans="1:7">
      <c r="A207">
        <f t="shared" si="8"/>
        <v>112</v>
      </c>
      <c r="B207">
        <f t="shared" ca="1" si="9"/>
        <v>0.48</v>
      </c>
      <c r="C207" s="6">
        <f t="shared" ca="1" si="10"/>
        <v>-63922.043576258453</v>
      </c>
      <c r="F207">
        <f t="shared" si="12"/>
        <v>116</v>
      </c>
      <c r="G207">
        <f t="shared" ca="1" si="11"/>
        <v>0.41599999999999998</v>
      </c>
    </row>
    <row r="208" spans="1:7">
      <c r="A208">
        <f t="shared" si="8"/>
        <v>113</v>
      </c>
      <c r="B208">
        <f t="shared" ca="1" si="9"/>
        <v>0.61</v>
      </c>
      <c r="C208" s="6">
        <f t="shared" ca="1" si="10"/>
        <v>-63922.043576258453</v>
      </c>
      <c r="F208">
        <f t="shared" si="12"/>
        <v>117</v>
      </c>
      <c r="G208">
        <f t="shared" ca="1" si="11"/>
        <v>0.80100000000000005</v>
      </c>
    </row>
    <row r="209" spans="1:7">
      <c r="A209">
        <f t="shared" si="8"/>
        <v>114</v>
      </c>
      <c r="B209">
        <f t="shared" ca="1" si="9"/>
        <v>0.49</v>
      </c>
      <c r="C209" s="6">
        <f t="shared" ca="1" si="10"/>
        <v>-63922.043576258453</v>
      </c>
      <c r="F209">
        <f t="shared" si="12"/>
        <v>118</v>
      </c>
      <c r="G209">
        <f t="shared" ca="1" si="11"/>
        <v>0.51900000000000002</v>
      </c>
    </row>
    <row r="210" spans="1:7">
      <c r="A210">
        <f t="shared" si="8"/>
        <v>115</v>
      </c>
      <c r="B210">
        <f t="shared" ca="1" si="9"/>
        <v>0.59</v>
      </c>
      <c r="C210" s="6">
        <f t="shared" ca="1" si="10"/>
        <v>-63922.043576258453</v>
      </c>
      <c r="F210">
        <f t="shared" si="12"/>
        <v>119</v>
      </c>
      <c r="G210">
        <f t="shared" ca="1" si="11"/>
        <v>0.77</v>
      </c>
    </row>
    <row r="211" spans="1:7">
      <c r="A211">
        <f t="shared" si="8"/>
        <v>116</v>
      </c>
      <c r="B211">
        <f t="shared" ca="1" si="9"/>
        <v>0.43</v>
      </c>
      <c r="C211" s="6">
        <f t="shared" ca="1" si="10"/>
        <v>-63922.043576258453</v>
      </c>
      <c r="F211">
        <f t="shared" si="12"/>
        <v>120</v>
      </c>
      <c r="G211">
        <f t="shared" ca="1" si="11"/>
        <v>0.79800000000000004</v>
      </c>
    </row>
    <row r="212" spans="1:7">
      <c r="A212">
        <f t="shared" si="8"/>
        <v>117</v>
      </c>
      <c r="B212">
        <f t="shared" ca="1" si="9"/>
        <v>0.53</v>
      </c>
      <c r="C212" s="6">
        <f t="shared" ca="1" si="10"/>
        <v>-63922.043576258453</v>
      </c>
      <c r="F212">
        <f t="shared" si="12"/>
        <v>121</v>
      </c>
      <c r="G212">
        <f t="shared" ca="1" si="11"/>
        <v>0.69499999999999995</v>
      </c>
    </row>
    <row r="213" spans="1:7">
      <c r="A213">
        <f t="shared" si="8"/>
        <v>118</v>
      </c>
      <c r="B213">
        <f t="shared" ca="1" si="9"/>
        <v>0.84</v>
      </c>
      <c r="C213" s="6">
        <f t="shared" ca="1" si="10"/>
        <v>-63922.043576258453</v>
      </c>
      <c r="F213">
        <f t="shared" si="12"/>
        <v>122</v>
      </c>
      <c r="G213">
        <f t="shared" ca="1" si="11"/>
        <v>0.57199999999999995</v>
      </c>
    </row>
    <row r="214" spans="1:7">
      <c r="A214">
        <f t="shared" si="8"/>
        <v>119</v>
      </c>
      <c r="B214">
        <f t="shared" ca="1" si="9"/>
        <v>0.69</v>
      </c>
      <c r="C214" s="6">
        <f t="shared" ca="1" si="10"/>
        <v>-63922.043576258453</v>
      </c>
      <c r="F214">
        <f t="shared" si="12"/>
        <v>123</v>
      </c>
      <c r="G214">
        <f t="shared" ca="1" si="11"/>
        <v>0.45500000000000002</v>
      </c>
    </row>
    <row r="215" spans="1:7">
      <c r="A215">
        <f t="shared" si="8"/>
        <v>120</v>
      </c>
      <c r="B215">
        <f t="shared" ca="1" si="9"/>
        <v>0.85</v>
      </c>
      <c r="C215" s="6">
        <f t="shared" ca="1" si="10"/>
        <v>-63922.043576258453</v>
      </c>
      <c r="F215">
        <f t="shared" si="12"/>
        <v>124</v>
      </c>
      <c r="G215">
        <f t="shared" ca="1" si="11"/>
        <v>0.59899999999999998</v>
      </c>
    </row>
    <row r="216" spans="1:7">
      <c r="A216">
        <f t="shared" si="8"/>
        <v>121</v>
      </c>
      <c r="B216">
        <f t="shared" ca="1" si="9"/>
        <v>0.49</v>
      </c>
      <c r="C216" s="6">
        <f t="shared" ca="1" si="10"/>
        <v>-63922.043576258453</v>
      </c>
      <c r="F216">
        <f t="shared" si="12"/>
        <v>125</v>
      </c>
      <c r="G216">
        <f t="shared" ca="1" si="11"/>
        <v>0.56200000000000006</v>
      </c>
    </row>
    <row r="217" spans="1:7">
      <c r="A217">
        <f t="shared" si="8"/>
        <v>122</v>
      </c>
      <c r="B217">
        <f t="shared" ca="1" si="9"/>
        <v>0.46</v>
      </c>
      <c r="C217" s="6">
        <f t="shared" ca="1" si="10"/>
        <v>-63922.043576258453</v>
      </c>
      <c r="F217">
        <f t="shared" si="12"/>
        <v>126</v>
      </c>
      <c r="G217">
        <f t="shared" ca="1" si="11"/>
        <v>0.52</v>
      </c>
    </row>
    <row r="218" spans="1:7">
      <c r="A218">
        <f t="shared" si="8"/>
        <v>123</v>
      </c>
      <c r="B218">
        <f t="shared" ca="1" si="9"/>
        <v>0.64</v>
      </c>
      <c r="C218" s="6">
        <f t="shared" ca="1" si="10"/>
        <v>-63922.043576258453</v>
      </c>
      <c r="F218">
        <f t="shared" si="12"/>
        <v>127</v>
      </c>
      <c r="G218">
        <f t="shared" ca="1" si="11"/>
        <v>0.68300000000000005</v>
      </c>
    </row>
    <row r="219" spans="1:7">
      <c r="A219">
        <f t="shared" ref="A219:A282" si="13">ROW()-95</f>
        <v>124</v>
      </c>
      <c r="B219">
        <f t="shared" ref="B219:B282" ca="1" si="14">RANDBETWEEN(40,100)/100</f>
        <v>0.6</v>
      </c>
      <c r="C219" s="6">
        <f t="shared" ref="C219:C282" ca="1" si="15">$B$71 + 0*B219</f>
        <v>-63922.043576258453</v>
      </c>
      <c r="F219">
        <f t="shared" si="12"/>
        <v>128</v>
      </c>
      <c r="G219">
        <f t="shared" ca="1" si="11"/>
        <v>0.436</v>
      </c>
    </row>
    <row r="220" spans="1:7">
      <c r="A220">
        <f t="shared" si="13"/>
        <v>125</v>
      </c>
      <c r="B220">
        <f t="shared" ca="1" si="14"/>
        <v>0.41</v>
      </c>
      <c r="C220" s="6">
        <f t="shared" ca="1" si="15"/>
        <v>-63922.043576258453</v>
      </c>
      <c r="F220">
        <f t="shared" si="12"/>
        <v>129</v>
      </c>
      <c r="G220">
        <f t="shared" ca="1" si="11"/>
        <v>0.92600000000000005</v>
      </c>
    </row>
    <row r="221" spans="1:7">
      <c r="A221">
        <f t="shared" si="13"/>
        <v>126</v>
      </c>
      <c r="B221">
        <f t="shared" ca="1" si="14"/>
        <v>0.96</v>
      </c>
      <c r="C221" s="6">
        <f t="shared" ca="1" si="15"/>
        <v>-63922.043576258453</v>
      </c>
      <c r="F221">
        <f t="shared" si="12"/>
        <v>130</v>
      </c>
      <c r="G221">
        <f t="shared" ref="G221:G284" ca="1" si="16">ROUND(RAND()*(1-0.4)+0.4,3)</f>
        <v>0.81399999999999995</v>
      </c>
    </row>
    <row r="222" spans="1:7">
      <c r="A222">
        <f t="shared" si="13"/>
        <v>127</v>
      </c>
      <c r="B222">
        <f t="shared" ca="1" si="14"/>
        <v>0.75</v>
      </c>
      <c r="C222" s="6">
        <f t="shared" ca="1" si="15"/>
        <v>-63922.043576258453</v>
      </c>
      <c r="F222">
        <f t="shared" ref="F222:F285" si="17">F221+1</f>
        <v>131</v>
      </c>
      <c r="G222">
        <f t="shared" ca="1" si="16"/>
        <v>0.45500000000000002</v>
      </c>
    </row>
    <row r="223" spans="1:7">
      <c r="A223">
        <f t="shared" si="13"/>
        <v>128</v>
      </c>
      <c r="B223">
        <f t="shared" ca="1" si="14"/>
        <v>0.96</v>
      </c>
      <c r="C223" s="6">
        <f t="shared" ca="1" si="15"/>
        <v>-63922.043576258453</v>
      </c>
      <c r="F223">
        <f t="shared" si="17"/>
        <v>132</v>
      </c>
      <c r="G223">
        <f t="shared" ca="1" si="16"/>
        <v>0.80900000000000005</v>
      </c>
    </row>
    <row r="224" spans="1:7">
      <c r="A224">
        <f t="shared" si="13"/>
        <v>129</v>
      </c>
      <c r="B224">
        <f t="shared" ca="1" si="14"/>
        <v>0.65</v>
      </c>
      <c r="C224" s="6">
        <f t="shared" ca="1" si="15"/>
        <v>-63922.043576258453</v>
      </c>
      <c r="F224">
        <f t="shared" si="17"/>
        <v>133</v>
      </c>
      <c r="G224">
        <f t="shared" ca="1" si="16"/>
        <v>0.74</v>
      </c>
    </row>
    <row r="225" spans="1:7">
      <c r="A225">
        <f t="shared" si="13"/>
        <v>130</v>
      </c>
      <c r="B225">
        <f t="shared" ca="1" si="14"/>
        <v>0.94</v>
      </c>
      <c r="C225" s="6">
        <f t="shared" ca="1" si="15"/>
        <v>-63922.043576258453</v>
      </c>
      <c r="F225">
        <f t="shared" si="17"/>
        <v>134</v>
      </c>
      <c r="G225">
        <f t="shared" ca="1" si="16"/>
        <v>0.90600000000000003</v>
      </c>
    </row>
    <row r="226" spans="1:7">
      <c r="A226">
        <f t="shared" si="13"/>
        <v>131</v>
      </c>
      <c r="B226">
        <f t="shared" ca="1" si="14"/>
        <v>0.42</v>
      </c>
      <c r="C226" s="6">
        <f t="shared" ca="1" si="15"/>
        <v>-63922.043576258453</v>
      </c>
      <c r="F226">
        <f t="shared" si="17"/>
        <v>135</v>
      </c>
      <c r="G226">
        <f t="shared" ca="1" si="16"/>
        <v>0.53900000000000003</v>
      </c>
    </row>
    <row r="227" spans="1:7">
      <c r="A227">
        <f t="shared" si="13"/>
        <v>132</v>
      </c>
      <c r="B227">
        <f t="shared" ca="1" si="14"/>
        <v>0.42</v>
      </c>
      <c r="C227" s="6">
        <f t="shared" ca="1" si="15"/>
        <v>-63922.043576258453</v>
      </c>
      <c r="F227">
        <f t="shared" si="17"/>
        <v>136</v>
      </c>
      <c r="G227">
        <f t="shared" ca="1" si="16"/>
        <v>0.47199999999999998</v>
      </c>
    </row>
    <row r="228" spans="1:7">
      <c r="A228">
        <f t="shared" si="13"/>
        <v>133</v>
      </c>
      <c r="B228">
        <f t="shared" ca="1" si="14"/>
        <v>0.52</v>
      </c>
      <c r="C228" s="6">
        <f t="shared" ca="1" si="15"/>
        <v>-63922.043576258453</v>
      </c>
      <c r="F228">
        <f t="shared" si="17"/>
        <v>137</v>
      </c>
      <c r="G228">
        <f t="shared" ca="1" si="16"/>
        <v>0.55500000000000005</v>
      </c>
    </row>
    <row r="229" spans="1:7">
      <c r="A229">
        <f t="shared" si="13"/>
        <v>134</v>
      </c>
      <c r="B229">
        <f t="shared" ca="1" si="14"/>
        <v>0.46</v>
      </c>
      <c r="C229" s="6">
        <f t="shared" ca="1" si="15"/>
        <v>-63922.043576258453</v>
      </c>
      <c r="F229">
        <f t="shared" si="17"/>
        <v>138</v>
      </c>
      <c r="G229">
        <f t="shared" ca="1" si="16"/>
        <v>0.53</v>
      </c>
    </row>
    <row r="230" spans="1:7">
      <c r="A230">
        <f t="shared" si="13"/>
        <v>135</v>
      </c>
      <c r="B230">
        <f t="shared" ca="1" si="14"/>
        <v>0.93</v>
      </c>
      <c r="C230" s="6">
        <f t="shared" ca="1" si="15"/>
        <v>-63922.043576258453</v>
      </c>
      <c r="F230">
        <f t="shared" si="17"/>
        <v>139</v>
      </c>
      <c r="G230">
        <f t="shared" ca="1" si="16"/>
        <v>0.54400000000000004</v>
      </c>
    </row>
    <row r="231" spans="1:7">
      <c r="A231">
        <f t="shared" si="13"/>
        <v>136</v>
      </c>
      <c r="B231">
        <f t="shared" ca="1" si="14"/>
        <v>0.8</v>
      </c>
      <c r="C231" s="6">
        <f t="shared" ca="1" si="15"/>
        <v>-63922.043576258453</v>
      </c>
      <c r="F231">
        <f t="shared" si="17"/>
        <v>140</v>
      </c>
      <c r="G231">
        <f t="shared" ca="1" si="16"/>
        <v>0.93400000000000005</v>
      </c>
    </row>
    <row r="232" spans="1:7">
      <c r="A232">
        <f t="shared" si="13"/>
        <v>137</v>
      </c>
      <c r="B232">
        <f t="shared" ca="1" si="14"/>
        <v>0.81</v>
      </c>
      <c r="C232" s="6">
        <f t="shared" ca="1" si="15"/>
        <v>-63922.043576258453</v>
      </c>
      <c r="F232">
        <f t="shared" si="17"/>
        <v>141</v>
      </c>
      <c r="G232">
        <f t="shared" ca="1" si="16"/>
        <v>0.94199999999999995</v>
      </c>
    </row>
    <row r="233" spans="1:7">
      <c r="A233">
        <f t="shared" si="13"/>
        <v>138</v>
      </c>
      <c r="B233">
        <f t="shared" ca="1" si="14"/>
        <v>0.41</v>
      </c>
      <c r="C233" s="6">
        <f t="shared" ca="1" si="15"/>
        <v>-63922.043576258453</v>
      </c>
      <c r="F233">
        <f t="shared" si="17"/>
        <v>142</v>
      </c>
      <c r="G233">
        <f t="shared" ca="1" si="16"/>
        <v>0.95899999999999996</v>
      </c>
    </row>
    <row r="234" spans="1:7">
      <c r="A234">
        <f t="shared" si="13"/>
        <v>139</v>
      </c>
      <c r="B234">
        <f t="shared" ca="1" si="14"/>
        <v>0.52</v>
      </c>
      <c r="C234" s="6">
        <f t="shared" ca="1" si="15"/>
        <v>-63922.043576258453</v>
      </c>
      <c r="F234">
        <f t="shared" si="17"/>
        <v>143</v>
      </c>
      <c r="G234">
        <f t="shared" ca="1" si="16"/>
        <v>0.47199999999999998</v>
      </c>
    </row>
    <row r="235" spans="1:7">
      <c r="A235">
        <f t="shared" si="13"/>
        <v>140</v>
      </c>
      <c r="B235">
        <f t="shared" ca="1" si="14"/>
        <v>0.98</v>
      </c>
      <c r="C235" s="6">
        <f t="shared" ca="1" si="15"/>
        <v>-63922.043576258453</v>
      </c>
      <c r="F235">
        <f t="shared" si="17"/>
        <v>144</v>
      </c>
      <c r="G235">
        <f t="shared" ca="1" si="16"/>
        <v>0.50900000000000001</v>
      </c>
    </row>
    <row r="236" spans="1:7">
      <c r="A236">
        <f t="shared" si="13"/>
        <v>141</v>
      </c>
      <c r="B236">
        <f t="shared" ca="1" si="14"/>
        <v>0.49</v>
      </c>
      <c r="C236" s="6">
        <f t="shared" ca="1" si="15"/>
        <v>-63922.043576258453</v>
      </c>
      <c r="F236">
        <f t="shared" si="17"/>
        <v>145</v>
      </c>
      <c r="G236">
        <f t="shared" ca="1" si="16"/>
        <v>0.82099999999999995</v>
      </c>
    </row>
    <row r="237" spans="1:7">
      <c r="A237">
        <f t="shared" si="13"/>
        <v>142</v>
      </c>
      <c r="B237">
        <f t="shared" ca="1" si="14"/>
        <v>0.72</v>
      </c>
      <c r="C237" s="6">
        <f t="shared" ca="1" si="15"/>
        <v>-63922.043576258453</v>
      </c>
      <c r="F237">
        <f t="shared" si="17"/>
        <v>146</v>
      </c>
      <c r="G237">
        <f t="shared" ca="1" si="16"/>
        <v>0.96299999999999997</v>
      </c>
    </row>
    <row r="238" spans="1:7">
      <c r="A238">
        <f t="shared" si="13"/>
        <v>143</v>
      </c>
      <c r="B238">
        <f t="shared" ca="1" si="14"/>
        <v>0.51</v>
      </c>
      <c r="C238" s="6">
        <f t="shared" ca="1" si="15"/>
        <v>-63922.043576258453</v>
      </c>
      <c r="F238">
        <f t="shared" si="17"/>
        <v>147</v>
      </c>
      <c r="G238">
        <f t="shared" ca="1" si="16"/>
        <v>0.82799999999999996</v>
      </c>
    </row>
    <row r="239" spans="1:7">
      <c r="A239">
        <f t="shared" si="13"/>
        <v>144</v>
      </c>
      <c r="B239">
        <f t="shared" ca="1" si="14"/>
        <v>0.56999999999999995</v>
      </c>
      <c r="C239" s="6">
        <f t="shared" ca="1" si="15"/>
        <v>-63922.043576258453</v>
      </c>
      <c r="F239">
        <f t="shared" si="17"/>
        <v>148</v>
      </c>
      <c r="G239">
        <f t="shared" ca="1" si="16"/>
        <v>0.81100000000000005</v>
      </c>
    </row>
    <row r="240" spans="1:7">
      <c r="A240">
        <f t="shared" si="13"/>
        <v>145</v>
      </c>
      <c r="B240">
        <f t="shared" ca="1" si="14"/>
        <v>0.42</v>
      </c>
      <c r="C240" s="6">
        <f t="shared" ca="1" si="15"/>
        <v>-63922.043576258453</v>
      </c>
      <c r="F240">
        <f t="shared" si="17"/>
        <v>149</v>
      </c>
      <c r="G240">
        <f t="shared" ca="1" si="16"/>
        <v>0.83099999999999996</v>
      </c>
    </row>
    <row r="241" spans="1:7">
      <c r="A241">
        <f t="shared" si="13"/>
        <v>146</v>
      </c>
      <c r="B241">
        <f t="shared" ca="1" si="14"/>
        <v>0.8</v>
      </c>
      <c r="C241" s="6">
        <f t="shared" ca="1" si="15"/>
        <v>-63922.043576258453</v>
      </c>
      <c r="F241">
        <f t="shared" si="17"/>
        <v>150</v>
      </c>
      <c r="G241">
        <f t="shared" ca="1" si="16"/>
        <v>0.77400000000000002</v>
      </c>
    </row>
    <row r="242" spans="1:7">
      <c r="A242">
        <f t="shared" si="13"/>
        <v>147</v>
      </c>
      <c r="B242">
        <f t="shared" ca="1" si="14"/>
        <v>0.42</v>
      </c>
      <c r="C242" s="6">
        <f t="shared" ca="1" si="15"/>
        <v>-63922.043576258453</v>
      </c>
      <c r="F242">
        <f t="shared" si="17"/>
        <v>151</v>
      </c>
      <c r="G242">
        <f t="shared" ca="1" si="16"/>
        <v>0.501</v>
      </c>
    </row>
    <row r="243" spans="1:7">
      <c r="A243">
        <f t="shared" si="13"/>
        <v>148</v>
      </c>
      <c r="B243">
        <f t="shared" ca="1" si="14"/>
        <v>0.99</v>
      </c>
      <c r="C243" s="6">
        <f t="shared" ca="1" si="15"/>
        <v>-63922.043576258453</v>
      </c>
      <c r="F243">
        <f t="shared" si="17"/>
        <v>152</v>
      </c>
      <c r="G243">
        <f t="shared" ca="1" si="16"/>
        <v>0.498</v>
      </c>
    </row>
    <row r="244" spans="1:7">
      <c r="A244">
        <f t="shared" si="13"/>
        <v>149</v>
      </c>
      <c r="B244">
        <f t="shared" ca="1" si="14"/>
        <v>0.46</v>
      </c>
      <c r="C244" s="6">
        <f t="shared" ca="1" si="15"/>
        <v>-63922.043576258453</v>
      </c>
      <c r="F244">
        <f t="shared" si="17"/>
        <v>153</v>
      </c>
      <c r="G244">
        <f t="shared" ca="1" si="16"/>
        <v>0.42099999999999999</v>
      </c>
    </row>
    <row r="245" spans="1:7">
      <c r="A245">
        <f t="shared" si="13"/>
        <v>150</v>
      </c>
      <c r="B245">
        <f t="shared" ca="1" si="14"/>
        <v>0.48</v>
      </c>
      <c r="C245" s="6">
        <f t="shared" ca="1" si="15"/>
        <v>-63922.043576258453</v>
      </c>
      <c r="F245">
        <f t="shared" si="17"/>
        <v>154</v>
      </c>
      <c r="G245">
        <f t="shared" ca="1" si="16"/>
        <v>0.80100000000000005</v>
      </c>
    </row>
    <row r="246" spans="1:7">
      <c r="A246">
        <f t="shared" si="13"/>
        <v>151</v>
      </c>
      <c r="B246">
        <f t="shared" ca="1" si="14"/>
        <v>0.62</v>
      </c>
      <c r="C246" s="6">
        <f t="shared" ca="1" si="15"/>
        <v>-63922.043576258453</v>
      </c>
      <c r="F246">
        <f t="shared" si="17"/>
        <v>155</v>
      </c>
      <c r="G246">
        <f t="shared" ca="1" si="16"/>
        <v>0.81599999999999995</v>
      </c>
    </row>
    <row r="247" spans="1:7">
      <c r="A247">
        <f t="shared" si="13"/>
        <v>152</v>
      </c>
      <c r="B247">
        <f t="shared" ca="1" si="14"/>
        <v>0.77</v>
      </c>
      <c r="C247" s="6">
        <f t="shared" ca="1" si="15"/>
        <v>-63922.043576258453</v>
      </c>
      <c r="F247">
        <f t="shared" si="17"/>
        <v>156</v>
      </c>
      <c r="G247">
        <f t="shared" ca="1" si="16"/>
        <v>0.498</v>
      </c>
    </row>
    <row r="248" spans="1:7">
      <c r="A248">
        <f t="shared" si="13"/>
        <v>153</v>
      </c>
      <c r="B248">
        <f t="shared" ca="1" si="14"/>
        <v>0.47</v>
      </c>
      <c r="C248" s="6">
        <f t="shared" ca="1" si="15"/>
        <v>-63922.043576258453</v>
      </c>
      <c r="F248">
        <f t="shared" si="17"/>
        <v>157</v>
      </c>
      <c r="G248">
        <f t="shared" ca="1" si="16"/>
        <v>0.48199999999999998</v>
      </c>
    </row>
    <row r="249" spans="1:7">
      <c r="A249">
        <f t="shared" si="13"/>
        <v>154</v>
      </c>
      <c r="B249">
        <f t="shared" ca="1" si="14"/>
        <v>0.63</v>
      </c>
      <c r="C249" s="6">
        <f t="shared" ca="1" si="15"/>
        <v>-63922.043576258453</v>
      </c>
      <c r="F249">
        <f t="shared" si="17"/>
        <v>158</v>
      </c>
      <c r="G249">
        <f t="shared" ca="1" si="16"/>
        <v>0.64800000000000002</v>
      </c>
    </row>
    <row r="250" spans="1:7">
      <c r="A250">
        <f t="shared" si="13"/>
        <v>155</v>
      </c>
      <c r="B250">
        <f t="shared" ca="1" si="14"/>
        <v>1</v>
      </c>
      <c r="C250" s="6">
        <f t="shared" ca="1" si="15"/>
        <v>-63922.043576258453</v>
      </c>
      <c r="F250">
        <f t="shared" si="17"/>
        <v>159</v>
      </c>
      <c r="G250">
        <f t="shared" ca="1" si="16"/>
        <v>0.40799999999999997</v>
      </c>
    </row>
    <row r="251" spans="1:7">
      <c r="A251">
        <f t="shared" si="13"/>
        <v>156</v>
      </c>
      <c r="B251">
        <f t="shared" ca="1" si="14"/>
        <v>0.52</v>
      </c>
      <c r="C251" s="6">
        <f t="shared" ca="1" si="15"/>
        <v>-63922.043576258453</v>
      </c>
      <c r="F251">
        <f t="shared" si="17"/>
        <v>160</v>
      </c>
      <c r="G251">
        <f t="shared" ca="1" si="16"/>
        <v>0.58899999999999997</v>
      </c>
    </row>
    <row r="252" spans="1:7">
      <c r="A252">
        <f t="shared" si="13"/>
        <v>157</v>
      </c>
      <c r="B252">
        <f t="shared" ca="1" si="14"/>
        <v>0.99</v>
      </c>
      <c r="C252" s="6">
        <f t="shared" ca="1" si="15"/>
        <v>-63922.043576258453</v>
      </c>
      <c r="F252">
        <f t="shared" si="17"/>
        <v>161</v>
      </c>
      <c r="G252">
        <f t="shared" ca="1" si="16"/>
        <v>0.96699999999999997</v>
      </c>
    </row>
    <row r="253" spans="1:7">
      <c r="A253">
        <f t="shared" si="13"/>
        <v>158</v>
      </c>
      <c r="B253">
        <f t="shared" ca="1" si="14"/>
        <v>0.42</v>
      </c>
      <c r="C253" s="6">
        <f t="shared" ca="1" si="15"/>
        <v>-63922.043576258453</v>
      </c>
      <c r="F253">
        <f t="shared" si="17"/>
        <v>162</v>
      </c>
      <c r="G253">
        <f t="shared" ca="1" si="16"/>
        <v>0.82799999999999996</v>
      </c>
    </row>
    <row r="254" spans="1:7">
      <c r="A254">
        <f t="shared" si="13"/>
        <v>159</v>
      </c>
      <c r="B254">
        <f t="shared" ca="1" si="14"/>
        <v>0.55000000000000004</v>
      </c>
      <c r="C254" s="6">
        <f t="shared" ca="1" si="15"/>
        <v>-63922.043576258453</v>
      </c>
      <c r="F254">
        <f t="shared" si="17"/>
        <v>163</v>
      </c>
      <c r="G254">
        <f t="shared" ca="1" si="16"/>
        <v>0.48499999999999999</v>
      </c>
    </row>
    <row r="255" spans="1:7">
      <c r="A255">
        <f t="shared" si="13"/>
        <v>160</v>
      </c>
      <c r="B255">
        <f t="shared" ca="1" si="14"/>
        <v>0.5</v>
      </c>
      <c r="C255" s="6">
        <f t="shared" ca="1" si="15"/>
        <v>-63922.043576258453</v>
      </c>
      <c r="F255">
        <f t="shared" si="17"/>
        <v>164</v>
      </c>
      <c r="G255">
        <f t="shared" ca="1" si="16"/>
        <v>0.86699999999999999</v>
      </c>
    </row>
    <row r="256" spans="1:7">
      <c r="A256">
        <f t="shared" si="13"/>
        <v>161</v>
      </c>
      <c r="B256">
        <f t="shared" ca="1" si="14"/>
        <v>0.88</v>
      </c>
      <c r="C256" s="6">
        <f t="shared" ca="1" si="15"/>
        <v>-63922.043576258453</v>
      </c>
      <c r="F256">
        <f t="shared" si="17"/>
        <v>165</v>
      </c>
      <c r="G256">
        <f t="shared" ca="1" si="16"/>
        <v>0.59399999999999997</v>
      </c>
    </row>
    <row r="257" spans="1:7">
      <c r="A257">
        <f t="shared" si="13"/>
        <v>162</v>
      </c>
      <c r="B257">
        <f t="shared" ca="1" si="14"/>
        <v>0.96</v>
      </c>
      <c r="C257" s="6">
        <f t="shared" ca="1" si="15"/>
        <v>-63922.043576258453</v>
      </c>
      <c r="F257">
        <f t="shared" si="17"/>
        <v>166</v>
      </c>
      <c r="G257">
        <f t="shared" ca="1" si="16"/>
        <v>0.46100000000000002</v>
      </c>
    </row>
    <row r="258" spans="1:7">
      <c r="A258">
        <f t="shared" si="13"/>
        <v>163</v>
      </c>
      <c r="B258">
        <f t="shared" ca="1" si="14"/>
        <v>0.71</v>
      </c>
      <c r="C258" s="6">
        <f t="shared" ca="1" si="15"/>
        <v>-63922.043576258453</v>
      </c>
      <c r="F258">
        <f t="shared" si="17"/>
        <v>167</v>
      </c>
      <c r="G258">
        <f t="shared" ca="1" si="16"/>
        <v>0.62</v>
      </c>
    </row>
    <row r="259" spans="1:7">
      <c r="A259">
        <f t="shared" si="13"/>
        <v>164</v>
      </c>
      <c r="B259">
        <f t="shared" ca="1" si="14"/>
        <v>0.6</v>
      </c>
      <c r="C259" s="6">
        <f t="shared" ca="1" si="15"/>
        <v>-63922.043576258453</v>
      </c>
      <c r="F259">
        <f t="shared" si="17"/>
        <v>168</v>
      </c>
      <c r="G259">
        <f t="shared" ca="1" si="16"/>
        <v>0.54400000000000004</v>
      </c>
    </row>
    <row r="260" spans="1:7">
      <c r="A260">
        <f t="shared" si="13"/>
        <v>165</v>
      </c>
      <c r="B260">
        <f t="shared" ca="1" si="14"/>
        <v>0.53</v>
      </c>
      <c r="C260" s="6">
        <f t="shared" ca="1" si="15"/>
        <v>-63922.043576258453</v>
      </c>
      <c r="F260">
        <f t="shared" si="17"/>
        <v>169</v>
      </c>
      <c r="G260">
        <f t="shared" ca="1" si="16"/>
        <v>0.84199999999999997</v>
      </c>
    </row>
    <row r="261" spans="1:7">
      <c r="A261">
        <f t="shared" si="13"/>
        <v>166</v>
      </c>
      <c r="B261">
        <f t="shared" ca="1" si="14"/>
        <v>0.52</v>
      </c>
      <c r="C261" s="6">
        <f t="shared" ca="1" si="15"/>
        <v>-63922.043576258453</v>
      </c>
      <c r="F261">
        <f t="shared" si="17"/>
        <v>170</v>
      </c>
      <c r="G261">
        <f t="shared" ca="1" si="16"/>
        <v>0.97299999999999998</v>
      </c>
    </row>
    <row r="262" spans="1:7">
      <c r="A262">
        <f t="shared" si="13"/>
        <v>167</v>
      </c>
      <c r="B262">
        <f t="shared" ca="1" si="14"/>
        <v>0.53</v>
      </c>
      <c r="C262" s="6">
        <f t="shared" ca="1" si="15"/>
        <v>-63922.043576258453</v>
      </c>
      <c r="F262">
        <f t="shared" si="17"/>
        <v>171</v>
      </c>
      <c r="G262">
        <f t="shared" ca="1" si="16"/>
        <v>0.78900000000000003</v>
      </c>
    </row>
    <row r="263" spans="1:7">
      <c r="A263">
        <f t="shared" si="13"/>
        <v>168</v>
      </c>
      <c r="B263">
        <f t="shared" ca="1" si="14"/>
        <v>0.87</v>
      </c>
      <c r="C263" s="6">
        <f t="shared" ca="1" si="15"/>
        <v>-63922.043576258453</v>
      </c>
      <c r="F263">
        <f t="shared" si="17"/>
        <v>172</v>
      </c>
      <c r="G263">
        <f t="shared" ca="1" si="16"/>
        <v>0.749</v>
      </c>
    </row>
    <row r="264" spans="1:7">
      <c r="A264">
        <f t="shared" si="13"/>
        <v>169</v>
      </c>
      <c r="B264">
        <f t="shared" ca="1" si="14"/>
        <v>0.96</v>
      </c>
      <c r="C264" s="6">
        <f t="shared" ca="1" si="15"/>
        <v>-63922.043576258453</v>
      </c>
      <c r="F264">
        <f t="shared" si="17"/>
        <v>173</v>
      </c>
      <c r="G264">
        <f t="shared" ca="1" si="16"/>
        <v>0.94499999999999995</v>
      </c>
    </row>
    <row r="265" spans="1:7">
      <c r="A265">
        <f t="shared" si="13"/>
        <v>170</v>
      </c>
      <c r="B265">
        <f t="shared" ca="1" si="14"/>
        <v>0.88</v>
      </c>
      <c r="C265" s="6">
        <f t="shared" ca="1" si="15"/>
        <v>-63922.043576258453</v>
      </c>
      <c r="F265">
        <f t="shared" si="17"/>
        <v>174</v>
      </c>
      <c r="G265">
        <f t="shared" ca="1" si="16"/>
        <v>0.54100000000000004</v>
      </c>
    </row>
    <row r="266" spans="1:7">
      <c r="A266">
        <f t="shared" si="13"/>
        <v>171</v>
      </c>
      <c r="B266">
        <f t="shared" ca="1" si="14"/>
        <v>0.51</v>
      </c>
      <c r="C266" s="6">
        <f t="shared" ca="1" si="15"/>
        <v>-63922.043576258453</v>
      </c>
      <c r="F266">
        <f t="shared" si="17"/>
        <v>175</v>
      </c>
      <c r="G266">
        <f t="shared" ca="1" si="16"/>
        <v>0.42499999999999999</v>
      </c>
    </row>
    <row r="267" spans="1:7">
      <c r="A267">
        <f t="shared" si="13"/>
        <v>172</v>
      </c>
      <c r="B267">
        <f t="shared" ca="1" si="14"/>
        <v>0.67</v>
      </c>
      <c r="C267" s="6">
        <f t="shared" ca="1" si="15"/>
        <v>-63922.043576258453</v>
      </c>
      <c r="F267">
        <f t="shared" si="17"/>
        <v>176</v>
      </c>
      <c r="G267">
        <f t="shared" ca="1" si="16"/>
        <v>0.72599999999999998</v>
      </c>
    </row>
    <row r="268" spans="1:7">
      <c r="A268">
        <f t="shared" si="13"/>
        <v>173</v>
      </c>
      <c r="B268">
        <f t="shared" ca="1" si="14"/>
        <v>0.73</v>
      </c>
      <c r="C268" s="6">
        <f t="shared" ca="1" si="15"/>
        <v>-63922.043576258453</v>
      </c>
      <c r="F268">
        <f t="shared" si="17"/>
        <v>177</v>
      </c>
      <c r="G268">
        <f t="shared" ca="1" si="16"/>
        <v>0.95599999999999996</v>
      </c>
    </row>
    <row r="269" spans="1:7">
      <c r="A269">
        <f t="shared" si="13"/>
        <v>174</v>
      </c>
      <c r="B269">
        <f t="shared" ca="1" si="14"/>
        <v>0.93</v>
      </c>
      <c r="C269" s="6">
        <f t="shared" ca="1" si="15"/>
        <v>-63922.043576258453</v>
      </c>
      <c r="F269">
        <f t="shared" si="17"/>
        <v>178</v>
      </c>
      <c r="G269">
        <f t="shared" ca="1" si="16"/>
        <v>0.46200000000000002</v>
      </c>
    </row>
    <row r="270" spans="1:7">
      <c r="A270">
        <f t="shared" si="13"/>
        <v>175</v>
      </c>
      <c r="B270">
        <f t="shared" ca="1" si="14"/>
        <v>0.96</v>
      </c>
      <c r="C270" s="6">
        <f t="shared" ca="1" si="15"/>
        <v>-63922.043576258453</v>
      </c>
      <c r="F270">
        <f t="shared" si="17"/>
        <v>179</v>
      </c>
      <c r="G270">
        <f t="shared" ca="1" si="16"/>
        <v>0.95199999999999996</v>
      </c>
    </row>
    <row r="271" spans="1:7">
      <c r="A271">
        <f t="shared" si="13"/>
        <v>176</v>
      </c>
      <c r="B271">
        <f t="shared" ca="1" si="14"/>
        <v>0.99</v>
      </c>
      <c r="C271" s="6">
        <f t="shared" ca="1" si="15"/>
        <v>-63922.043576258453</v>
      </c>
      <c r="F271">
        <f t="shared" si="17"/>
        <v>180</v>
      </c>
      <c r="G271">
        <f t="shared" ca="1" si="16"/>
        <v>0.629</v>
      </c>
    </row>
    <row r="272" spans="1:7">
      <c r="A272">
        <f t="shared" si="13"/>
        <v>177</v>
      </c>
      <c r="B272">
        <f t="shared" ca="1" si="14"/>
        <v>0.77</v>
      </c>
      <c r="C272" s="6">
        <f t="shared" ca="1" si="15"/>
        <v>-63922.043576258453</v>
      </c>
      <c r="F272">
        <f t="shared" si="17"/>
        <v>181</v>
      </c>
      <c r="G272">
        <f t="shared" ca="1" si="16"/>
        <v>0.54200000000000004</v>
      </c>
    </row>
    <row r="273" spans="1:7">
      <c r="A273">
        <f t="shared" si="13"/>
        <v>178</v>
      </c>
      <c r="B273">
        <f t="shared" ca="1" si="14"/>
        <v>0.88</v>
      </c>
      <c r="C273" s="6">
        <f t="shared" ca="1" si="15"/>
        <v>-63922.043576258453</v>
      </c>
      <c r="F273">
        <f t="shared" si="17"/>
        <v>182</v>
      </c>
      <c r="G273">
        <f t="shared" ca="1" si="16"/>
        <v>0.66800000000000004</v>
      </c>
    </row>
    <row r="274" spans="1:7">
      <c r="A274">
        <f t="shared" si="13"/>
        <v>179</v>
      </c>
      <c r="B274">
        <f t="shared" ca="1" si="14"/>
        <v>0.77</v>
      </c>
      <c r="C274" s="6">
        <f t="shared" ca="1" si="15"/>
        <v>-63922.043576258453</v>
      </c>
      <c r="F274">
        <f t="shared" si="17"/>
        <v>183</v>
      </c>
      <c r="G274">
        <f t="shared" ca="1" si="16"/>
        <v>0.48899999999999999</v>
      </c>
    </row>
    <row r="275" spans="1:7">
      <c r="A275">
        <f t="shared" si="13"/>
        <v>180</v>
      </c>
      <c r="B275">
        <f t="shared" ca="1" si="14"/>
        <v>0.54</v>
      </c>
      <c r="C275" s="6">
        <f t="shared" ca="1" si="15"/>
        <v>-63922.043576258453</v>
      </c>
      <c r="F275">
        <f t="shared" si="17"/>
        <v>184</v>
      </c>
      <c r="G275">
        <f t="shared" ca="1" si="16"/>
        <v>0.91700000000000004</v>
      </c>
    </row>
    <row r="276" spans="1:7">
      <c r="A276">
        <f t="shared" si="13"/>
        <v>181</v>
      </c>
      <c r="B276">
        <f t="shared" ca="1" si="14"/>
        <v>0.79</v>
      </c>
      <c r="C276" s="6">
        <f t="shared" ca="1" si="15"/>
        <v>-63922.043576258453</v>
      </c>
      <c r="F276">
        <f t="shared" si="17"/>
        <v>185</v>
      </c>
      <c r="G276">
        <f t="shared" ca="1" si="16"/>
        <v>0.89600000000000002</v>
      </c>
    </row>
    <row r="277" spans="1:7">
      <c r="A277">
        <f t="shared" si="13"/>
        <v>182</v>
      </c>
      <c r="B277">
        <f t="shared" ca="1" si="14"/>
        <v>0.59</v>
      </c>
      <c r="C277" s="6">
        <f t="shared" ca="1" si="15"/>
        <v>-63922.043576258453</v>
      </c>
      <c r="F277">
        <f t="shared" si="17"/>
        <v>186</v>
      </c>
      <c r="G277">
        <f t="shared" ca="1" si="16"/>
        <v>0.438</v>
      </c>
    </row>
    <row r="278" spans="1:7">
      <c r="A278">
        <f t="shared" si="13"/>
        <v>183</v>
      </c>
      <c r="B278">
        <f t="shared" ca="1" si="14"/>
        <v>0.85</v>
      </c>
      <c r="C278" s="6">
        <f t="shared" ca="1" si="15"/>
        <v>-63922.043576258453</v>
      </c>
      <c r="F278">
        <f t="shared" si="17"/>
        <v>187</v>
      </c>
      <c r="G278">
        <f t="shared" ca="1" si="16"/>
        <v>0.69599999999999995</v>
      </c>
    </row>
    <row r="279" spans="1:7">
      <c r="A279">
        <f t="shared" si="13"/>
        <v>184</v>
      </c>
      <c r="B279">
        <f t="shared" ca="1" si="14"/>
        <v>0.92</v>
      </c>
      <c r="C279" s="6">
        <f t="shared" ca="1" si="15"/>
        <v>-63922.043576258453</v>
      </c>
      <c r="F279">
        <f t="shared" si="17"/>
        <v>188</v>
      </c>
      <c r="G279">
        <f t="shared" ca="1" si="16"/>
        <v>0.41899999999999998</v>
      </c>
    </row>
    <row r="280" spans="1:7">
      <c r="A280">
        <f t="shared" si="13"/>
        <v>185</v>
      </c>
      <c r="B280">
        <f t="shared" ca="1" si="14"/>
        <v>0.93</v>
      </c>
      <c r="C280" s="6">
        <f t="shared" ca="1" si="15"/>
        <v>-63922.043576258453</v>
      </c>
      <c r="F280">
        <f t="shared" si="17"/>
        <v>189</v>
      </c>
      <c r="G280">
        <f t="shared" ca="1" si="16"/>
        <v>0.66400000000000003</v>
      </c>
    </row>
    <row r="281" spans="1:7">
      <c r="A281">
        <f t="shared" si="13"/>
        <v>186</v>
      </c>
      <c r="B281">
        <f t="shared" ca="1" si="14"/>
        <v>0.46</v>
      </c>
      <c r="C281" s="6">
        <f t="shared" ca="1" si="15"/>
        <v>-63922.043576258453</v>
      </c>
      <c r="F281">
        <f t="shared" si="17"/>
        <v>190</v>
      </c>
      <c r="G281">
        <f t="shared" ca="1" si="16"/>
        <v>0.65600000000000003</v>
      </c>
    </row>
    <row r="282" spans="1:7">
      <c r="A282">
        <f t="shared" si="13"/>
        <v>187</v>
      </c>
      <c r="B282">
        <f t="shared" ca="1" si="14"/>
        <v>0.56000000000000005</v>
      </c>
      <c r="C282" s="6">
        <f t="shared" ca="1" si="15"/>
        <v>-63922.043576258453</v>
      </c>
      <c r="F282">
        <f t="shared" si="17"/>
        <v>191</v>
      </c>
      <c r="G282">
        <f t="shared" ca="1" si="16"/>
        <v>0.84499999999999997</v>
      </c>
    </row>
    <row r="283" spans="1:7">
      <c r="A283">
        <f t="shared" ref="A283:A346" si="18">ROW()-95</f>
        <v>188</v>
      </c>
      <c r="B283">
        <f t="shared" ref="B283:B346" ca="1" si="19">RANDBETWEEN(40,100)/100</f>
        <v>0.45</v>
      </c>
      <c r="C283" s="6">
        <f t="shared" ref="C283:C346" ca="1" si="20">$B$71 + 0*B283</f>
        <v>-63922.043576258453</v>
      </c>
      <c r="F283">
        <f t="shared" si="17"/>
        <v>192</v>
      </c>
      <c r="G283">
        <f t="shared" ca="1" si="16"/>
        <v>0.64100000000000001</v>
      </c>
    </row>
    <row r="284" spans="1:7">
      <c r="A284">
        <f t="shared" si="18"/>
        <v>189</v>
      </c>
      <c r="B284">
        <f t="shared" ca="1" si="19"/>
        <v>0.52</v>
      </c>
      <c r="C284" s="6">
        <f t="shared" ca="1" si="20"/>
        <v>-63922.043576258453</v>
      </c>
      <c r="F284">
        <f t="shared" si="17"/>
        <v>193</v>
      </c>
      <c r="G284">
        <f t="shared" ca="1" si="16"/>
        <v>0.82099999999999995</v>
      </c>
    </row>
    <row r="285" spans="1:7">
      <c r="A285">
        <f t="shared" si="18"/>
        <v>190</v>
      </c>
      <c r="B285">
        <f t="shared" ca="1" si="19"/>
        <v>0.49</v>
      </c>
      <c r="C285" s="6">
        <f t="shared" ca="1" si="20"/>
        <v>-63922.043576258453</v>
      </c>
      <c r="F285">
        <f t="shared" si="17"/>
        <v>194</v>
      </c>
      <c r="G285">
        <f t="shared" ref="G285:G348" ca="1" si="21">ROUND(RAND()*(1-0.4)+0.4,3)</f>
        <v>0.91700000000000004</v>
      </c>
    </row>
    <row r="286" spans="1:7">
      <c r="A286">
        <f t="shared" si="18"/>
        <v>191</v>
      </c>
      <c r="B286">
        <f t="shared" ca="1" si="19"/>
        <v>1</v>
      </c>
      <c r="C286" s="6">
        <f t="shared" ca="1" si="20"/>
        <v>-63922.043576258453</v>
      </c>
      <c r="F286">
        <f t="shared" ref="F286:F349" si="22">F285+1</f>
        <v>195</v>
      </c>
      <c r="G286">
        <f t="shared" ca="1" si="21"/>
        <v>0.93</v>
      </c>
    </row>
    <row r="287" spans="1:7">
      <c r="A287">
        <f t="shared" si="18"/>
        <v>192</v>
      </c>
      <c r="B287">
        <f t="shared" ca="1" si="19"/>
        <v>0.74</v>
      </c>
      <c r="C287" s="6">
        <f t="shared" ca="1" si="20"/>
        <v>-63922.043576258453</v>
      </c>
      <c r="F287">
        <f t="shared" si="22"/>
        <v>196</v>
      </c>
      <c r="G287">
        <f t="shared" ca="1" si="21"/>
        <v>0.56499999999999995</v>
      </c>
    </row>
    <row r="288" spans="1:7">
      <c r="A288">
        <f t="shared" si="18"/>
        <v>193</v>
      </c>
      <c r="B288">
        <f t="shared" ca="1" si="19"/>
        <v>0.64</v>
      </c>
      <c r="C288" s="6">
        <f t="shared" ca="1" si="20"/>
        <v>-63922.043576258453</v>
      </c>
      <c r="F288">
        <f t="shared" si="22"/>
        <v>197</v>
      </c>
      <c r="G288">
        <f t="shared" ca="1" si="21"/>
        <v>0.59</v>
      </c>
    </row>
    <row r="289" spans="1:7">
      <c r="A289">
        <f t="shared" si="18"/>
        <v>194</v>
      </c>
      <c r="B289">
        <f t="shared" ca="1" si="19"/>
        <v>0.61</v>
      </c>
      <c r="C289" s="6">
        <f t="shared" ca="1" si="20"/>
        <v>-63922.043576258453</v>
      </c>
      <c r="F289">
        <f t="shared" si="22"/>
        <v>198</v>
      </c>
      <c r="G289">
        <f t="shared" ca="1" si="21"/>
        <v>0.76900000000000002</v>
      </c>
    </row>
    <row r="290" spans="1:7">
      <c r="A290">
        <f t="shared" si="18"/>
        <v>195</v>
      </c>
      <c r="B290">
        <f t="shared" ca="1" si="19"/>
        <v>0.5</v>
      </c>
      <c r="C290" s="6">
        <f t="shared" ca="1" si="20"/>
        <v>-63922.043576258453</v>
      </c>
      <c r="F290">
        <f t="shared" si="22"/>
        <v>199</v>
      </c>
      <c r="G290">
        <f t="shared" ca="1" si="21"/>
        <v>0.70199999999999996</v>
      </c>
    </row>
    <row r="291" spans="1:7">
      <c r="A291">
        <f t="shared" si="18"/>
        <v>196</v>
      </c>
      <c r="B291">
        <f t="shared" ca="1" si="19"/>
        <v>0.78</v>
      </c>
      <c r="C291" s="6">
        <f t="shared" ca="1" si="20"/>
        <v>-63922.043576258453</v>
      </c>
      <c r="F291">
        <f t="shared" si="22"/>
        <v>200</v>
      </c>
      <c r="G291">
        <f t="shared" ca="1" si="21"/>
        <v>0.42499999999999999</v>
      </c>
    </row>
    <row r="292" spans="1:7">
      <c r="A292">
        <f t="shared" si="18"/>
        <v>197</v>
      </c>
      <c r="B292">
        <f t="shared" ca="1" si="19"/>
        <v>0.46</v>
      </c>
      <c r="C292" s="6">
        <f t="shared" ca="1" si="20"/>
        <v>-63922.043576258453</v>
      </c>
      <c r="F292">
        <f t="shared" si="22"/>
        <v>201</v>
      </c>
      <c r="G292">
        <f t="shared" ca="1" si="21"/>
        <v>0.71</v>
      </c>
    </row>
    <row r="293" spans="1:7">
      <c r="A293">
        <f t="shared" si="18"/>
        <v>198</v>
      </c>
      <c r="B293">
        <f t="shared" ca="1" si="19"/>
        <v>0.61</v>
      </c>
      <c r="C293" s="6">
        <f t="shared" ca="1" si="20"/>
        <v>-63922.043576258453</v>
      </c>
      <c r="F293">
        <f t="shared" si="22"/>
        <v>202</v>
      </c>
      <c r="G293">
        <f t="shared" ca="1" si="21"/>
        <v>0.77600000000000002</v>
      </c>
    </row>
    <row r="294" spans="1:7">
      <c r="A294">
        <f t="shared" si="18"/>
        <v>199</v>
      </c>
      <c r="B294">
        <f t="shared" ca="1" si="19"/>
        <v>0.77</v>
      </c>
      <c r="C294" s="6">
        <f t="shared" ca="1" si="20"/>
        <v>-63922.043576258453</v>
      </c>
      <c r="F294">
        <f t="shared" si="22"/>
        <v>203</v>
      </c>
      <c r="G294">
        <f t="shared" ca="1" si="21"/>
        <v>0.67</v>
      </c>
    </row>
    <row r="295" spans="1:7">
      <c r="A295">
        <f t="shared" si="18"/>
        <v>200</v>
      </c>
      <c r="B295">
        <f t="shared" ca="1" si="19"/>
        <v>0.44</v>
      </c>
      <c r="C295" s="6">
        <f t="shared" ca="1" si="20"/>
        <v>-63922.043576258453</v>
      </c>
      <c r="F295">
        <f t="shared" si="22"/>
        <v>204</v>
      </c>
      <c r="G295">
        <f t="shared" ca="1" si="21"/>
        <v>0.91900000000000004</v>
      </c>
    </row>
    <row r="296" spans="1:7">
      <c r="A296">
        <f t="shared" si="18"/>
        <v>201</v>
      </c>
      <c r="B296">
        <f t="shared" ca="1" si="19"/>
        <v>0.49</v>
      </c>
      <c r="C296" s="6">
        <f t="shared" ca="1" si="20"/>
        <v>-63922.043576258453</v>
      </c>
      <c r="F296">
        <f t="shared" si="22"/>
        <v>205</v>
      </c>
      <c r="G296">
        <f t="shared" ca="1" si="21"/>
        <v>0.77100000000000002</v>
      </c>
    </row>
    <row r="297" spans="1:7">
      <c r="A297">
        <f t="shared" si="18"/>
        <v>202</v>
      </c>
      <c r="B297">
        <f t="shared" ca="1" si="19"/>
        <v>0.71</v>
      </c>
      <c r="C297" s="6">
        <f t="shared" ca="1" si="20"/>
        <v>-63922.043576258453</v>
      </c>
      <c r="F297">
        <f t="shared" si="22"/>
        <v>206</v>
      </c>
      <c r="G297">
        <f t="shared" ca="1" si="21"/>
        <v>0.996</v>
      </c>
    </row>
    <row r="298" spans="1:7">
      <c r="A298">
        <f t="shared" si="18"/>
        <v>203</v>
      </c>
      <c r="B298">
        <f t="shared" ca="1" si="19"/>
        <v>0.61</v>
      </c>
      <c r="C298" s="6">
        <f t="shared" ca="1" si="20"/>
        <v>-63922.043576258453</v>
      </c>
      <c r="F298">
        <f t="shared" si="22"/>
        <v>207</v>
      </c>
      <c r="G298">
        <f t="shared" ca="1" si="21"/>
        <v>0.82199999999999995</v>
      </c>
    </row>
    <row r="299" spans="1:7">
      <c r="A299">
        <f t="shared" si="18"/>
        <v>204</v>
      </c>
      <c r="B299">
        <f t="shared" ca="1" si="19"/>
        <v>0.5</v>
      </c>
      <c r="C299" s="6">
        <f t="shared" ca="1" si="20"/>
        <v>-63922.043576258453</v>
      </c>
      <c r="F299">
        <f t="shared" si="22"/>
        <v>208</v>
      </c>
      <c r="G299">
        <f t="shared" ca="1" si="21"/>
        <v>0.79400000000000004</v>
      </c>
    </row>
    <row r="300" spans="1:7">
      <c r="A300">
        <f t="shared" si="18"/>
        <v>205</v>
      </c>
      <c r="B300">
        <f t="shared" ca="1" si="19"/>
        <v>0.57999999999999996</v>
      </c>
      <c r="C300" s="6">
        <f t="shared" ca="1" si="20"/>
        <v>-63922.043576258453</v>
      </c>
      <c r="F300">
        <f t="shared" si="22"/>
        <v>209</v>
      </c>
      <c r="G300">
        <f t="shared" ca="1" si="21"/>
        <v>0.59599999999999997</v>
      </c>
    </row>
    <row r="301" spans="1:7">
      <c r="A301">
        <f t="shared" si="18"/>
        <v>206</v>
      </c>
      <c r="B301">
        <f t="shared" ca="1" si="19"/>
        <v>0.44</v>
      </c>
      <c r="C301" s="6">
        <f t="shared" ca="1" si="20"/>
        <v>-63922.043576258453</v>
      </c>
      <c r="F301">
        <f t="shared" si="22"/>
        <v>210</v>
      </c>
      <c r="G301">
        <f t="shared" ca="1" si="21"/>
        <v>0.751</v>
      </c>
    </row>
    <row r="302" spans="1:7">
      <c r="A302">
        <f t="shared" si="18"/>
        <v>207</v>
      </c>
      <c r="B302">
        <f t="shared" ca="1" si="19"/>
        <v>0.49</v>
      </c>
      <c r="C302" s="6">
        <f t="shared" ca="1" si="20"/>
        <v>-63922.043576258453</v>
      </c>
      <c r="F302">
        <f t="shared" si="22"/>
        <v>211</v>
      </c>
      <c r="G302">
        <f t="shared" ca="1" si="21"/>
        <v>0.91800000000000004</v>
      </c>
    </row>
    <row r="303" spans="1:7">
      <c r="A303">
        <f t="shared" si="18"/>
        <v>208</v>
      </c>
      <c r="B303">
        <f t="shared" ca="1" si="19"/>
        <v>0.69</v>
      </c>
      <c r="C303" s="6">
        <f t="shared" ca="1" si="20"/>
        <v>-63922.043576258453</v>
      </c>
      <c r="F303">
        <f t="shared" si="22"/>
        <v>212</v>
      </c>
      <c r="G303">
        <f t="shared" ca="1" si="21"/>
        <v>0.85</v>
      </c>
    </row>
    <row r="304" spans="1:7">
      <c r="A304">
        <f t="shared" si="18"/>
        <v>209</v>
      </c>
      <c r="B304">
        <f t="shared" ca="1" si="19"/>
        <v>0.46</v>
      </c>
      <c r="C304" s="6">
        <f t="shared" ca="1" si="20"/>
        <v>-63922.043576258453</v>
      </c>
      <c r="F304">
        <f t="shared" si="22"/>
        <v>213</v>
      </c>
      <c r="G304">
        <f t="shared" ca="1" si="21"/>
        <v>0.40100000000000002</v>
      </c>
    </row>
    <row r="305" spans="1:7">
      <c r="A305">
        <f t="shared" si="18"/>
        <v>210</v>
      </c>
      <c r="B305">
        <f t="shared" ca="1" si="19"/>
        <v>0.91</v>
      </c>
      <c r="C305" s="6">
        <f t="shared" ca="1" si="20"/>
        <v>-63922.043576258453</v>
      </c>
      <c r="F305">
        <f t="shared" si="22"/>
        <v>214</v>
      </c>
      <c r="G305">
        <f t="shared" ca="1" si="21"/>
        <v>0.66100000000000003</v>
      </c>
    </row>
    <row r="306" spans="1:7">
      <c r="A306">
        <f t="shared" si="18"/>
        <v>211</v>
      </c>
      <c r="B306">
        <f t="shared" ca="1" si="19"/>
        <v>0.63</v>
      </c>
      <c r="C306" s="6">
        <f t="shared" ca="1" si="20"/>
        <v>-63922.043576258453</v>
      </c>
      <c r="F306">
        <f t="shared" si="22"/>
        <v>215</v>
      </c>
      <c r="G306">
        <f t="shared" ca="1" si="21"/>
        <v>0.439</v>
      </c>
    </row>
    <row r="307" spans="1:7">
      <c r="A307">
        <f t="shared" si="18"/>
        <v>212</v>
      </c>
      <c r="B307">
        <f t="shared" ca="1" si="19"/>
        <v>0.93</v>
      </c>
      <c r="C307" s="6">
        <f t="shared" ca="1" si="20"/>
        <v>-63922.043576258453</v>
      </c>
      <c r="F307">
        <f t="shared" si="22"/>
        <v>216</v>
      </c>
      <c r="G307">
        <f t="shared" ca="1" si="21"/>
        <v>0.82</v>
      </c>
    </row>
    <row r="308" spans="1:7">
      <c r="A308">
        <f t="shared" si="18"/>
        <v>213</v>
      </c>
      <c r="B308">
        <f t="shared" ca="1" si="19"/>
        <v>0.4</v>
      </c>
      <c r="C308" s="6">
        <f t="shared" ca="1" si="20"/>
        <v>-63922.043576258453</v>
      </c>
      <c r="F308">
        <f t="shared" si="22"/>
        <v>217</v>
      </c>
      <c r="G308">
        <f t="shared" ca="1" si="21"/>
        <v>0.91700000000000004</v>
      </c>
    </row>
    <row r="309" spans="1:7">
      <c r="A309">
        <f t="shared" si="18"/>
        <v>214</v>
      </c>
      <c r="B309">
        <f t="shared" ca="1" si="19"/>
        <v>0.72</v>
      </c>
      <c r="C309" s="6">
        <f t="shared" ca="1" si="20"/>
        <v>-63922.043576258453</v>
      </c>
      <c r="F309">
        <f t="shared" si="22"/>
        <v>218</v>
      </c>
      <c r="G309">
        <f t="shared" ca="1" si="21"/>
        <v>0.76700000000000002</v>
      </c>
    </row>
    <row r="310" spans="1:7">
      <c r="A310">
        <f t="shared" si="18"/>
        <v>215</v>
      </c>
      <c r="B310">
        <f t="shared" ca="1" si="19"/>
        <v>0.81</v>
      </c>
      <c r="C310" s="6">
        <f t="shared" ca="1" si="20"/>
        <v>-63922.043576258453</v>
      </c>
      <c r="F310">
        <f t="shared" si="22"/>
        <v>219</v>
      </c>
      <c r="G310">
        <f t="shared" ca="1" si="21"/>
        <v>0.77500000000000002</v>
      </c>
    </row>
    <row r="311" spans="1:7">
      <c r="A311">
        <f t="shared" si="18"/>
        <v>216</v>
      </c>
      <c r="B311">
        <f t="shared" ca="1" si="19"/>
        <v>0.47</v>
      </c>
      <c r="C311" s="6">
        <f t="shared" ca="1" si="20"/>
        <v>-63922.043576258453</v>
      </c>
      <c r="F311">
        <f t="shared" si="22"/>
        <v>220</v>
      </c>
      <c r="G311">
        <f t="shared" ca="1" si="21"/>
        <v>0.41399999999999998</v>
      </c>
    </row>
    <row r="312" spans="1:7">
      <c r="A312">
        <f t="shared" si="18"/>
        <v>217</v>
      </c>
      <c r="B312">
        <f t="shared" ca="1" si="19"/>
        <v>0.49</v>
      </c>
      <c r="C312" s="6">
        <f t="shared" ca="1" si="20"/>
        <v>-63922.043576258453</v>
      </c>
      <c r="F312">
        <f t="shared" si="22"/>
        <v>221</v>
      </c>
      <c r="G312">
        <f t="shared" ca="1" si="21"/>
        <v>0.58299999999999996</v>
      </c>
    </row>
    <row r="313" spans="1:7">
      <c r="A313">
        <f t="shared" si="18"/>
        <v>218</v>
      </c>
      <c r="B313">
        <f t="shared" ca="1" si="19"/>
        <v>0.42</v>
      </c>
      <c r="C313" s="6">
        <f t="shared" ca="1" si="20"/>
        <v>-63922.043576258453</v>
      </c>
      <c r="F313">
        <f t="shared" si="22"/>
        <v>222</v>
      </c>
      <c r="G313">
        <f t="shared" ca="1" si="21"/>
        <v>0.71599999999999997</v>
      </c>
    </row>
    <row r="314" spans="1:7">
      <c r="A314">
        <f t="shared" si="18"/>
        <v>219</v>
      </c>
      <c r="B314">
        <f t="shared" ca="1" si="19"/>
        <v>0.56999999999999995</v>
      </c>
      <c r="C314" s="6">
        <f t="shared" ca="1" si="20"/>
        <v>-63922.043576258453</v>
      </c>
      <c r="F314">
        <f t="shared" si="22"/>
        <v>223</v>
      </c>
      <c r="G314">
        <f t="shared" ca="1" si="21"/>
        <v>0.87</v>
      </c>
    </row>
    <row r="315" spans="1:7">
      <c r="A315">
        <f t="shared" si="18"/>
        <v>220</v>
      </c>
      <c r="B315">
        <f t="shared" ca="1" si="19"/>
        <v>0.74</v>
      </c>
      <c r="C315" s="6">
        <f t="shared" ca="1" si="20"/>
        <v>-63922.043576258453</v>
      </c>
      <c r="F315">
        <f t="shared" si="22"/>
        <v>224</v>
      </c>
      <c r="G315">
        <f t="shared" ca="1" si="21"/>
        <v>0.77300000000000002</v>
      </c>
    </row>
    <row r="316" spans="1:7">
      <c r="A316">
        <f t="shared" si="18"/>
        <v>221</v>
      </c>
      <c r="B316">
        <f t="shared" ca="1" si="19"/>
        <v>0.73</v>
      </c>
      <c r="C316" s="6">
        <f t="shared" ca="1" si="20"/>
        <v>-63922.043576258453</v>
      </c>
      <c r="F316">
        <f t="shared" si="22"/>
        <v>225</v>
      </c>
      <c r="G316">
        <f t="shared" ca="1" si="21"/>
        <v>0.60799999999999998</v>
      </c>
    </row>
    <row r="317" spans="1:7">
      <c r="A317">
        <f t="shared" si="18"/>
        <v>222</v>
      </c>
      <c r="B317">
        <f t="shared" ca="1" si="19"/>
        <v>0.48</v>
      </c>
      <c r="C317" s="6">
        <f t="shared" ca="1" si="20"/>
        <v>-63922.043576258453</v>
      </c>
      <c r="F317">
        <f t="shared" si="22"/>
        <v>226</v>
      </c>
      <c r="G317">
        <f t="shared" ca="1" si="21"/>
        <v>0.443</v>
      </c>
    </row>
    <row r="318" spans="1:7">
      <c r="A318">
        <f t="shared" si="18"/>
        <v>223</v>
      </c>
      <c r="B318">
        <f t="shared" ca="1" si="19"/>
        <v>0.88</v>
      </c>
      <c r="C318" s="6">
        <f t="shared" ca="1" si="20"/>
        <v>-63922.043576258453</v>
      </c>
      <c r="F318">
        <f t="shared" si="22"/>
        <v>227</v>
      </c>
      <c r="G318">
        <f t="shared" ca="1" si="21"/>
        <v>0.505</v>
      </c>
    </row>
    <row r="319" spans="1:7">
      <c r="A319">
        <f t="shared" si="18"/>
        <v>224</v>
      </c>
      <c r="B319">
        <f t="shared" ca="1" si="19"/>
        <v>0.71</v>
      </c>
      <c r="C319" s="6">
        <f t="shared" ca="1" si="20"/>
        <v>-63922.043576258453</v>
      </c>
      <c r="F319">
        <f t="shared" si="22"/>
        <v>228</v>
      </c>
      <c r="G319">
        <f t="shared" ca="1" si="21"/>
        <v>0.995</v>
      </c>
    </row>
    <row r="320" spans="1:7">
      <c r="A320">
        <f t="shared" si="18"/>
        <v>225</v>
      </c>
      <c r="B320">
        <f t="shared" ca="1" si="19"/>
        <v>0.97</v>
      </c>
      <c r="C320" s="6">
        <f t="shared" ca="1" si="20"/>
        <v>-63922.043576258453</v>
      </c>
      <c r="F320">
        <f t="shared" si="22"/>
        <v>229</v>
      </c>
      <c r="G320">
        <f t="shared" ca="1" si="21"/>
        <v>0.42699999999999999</v>
      </c>
    </row>
    <row r="321" spans="1:7">
      <c r="A321">
        <f t="shared" si="18"/>
        <v>226</v>
      </c>
      <c r="B321">
        <f t="shared" ca="1" si="19"/>
        <v>0.48</v>
      </c>
      <c r="C321" s="6">
        <f t="shared" ca="1" si="20"/>
        <v>-63922.043576258453</v>
      </c>
      <c r="F321">
        <f t="shared" si="22"/>
        <v>230</v>
      </c>
      <c r="G321">
        <f t="shared" ca="1" si="21"/>
        <v>0.57899999999999996</v>
      </c>
    </row>
    <row r="322" spans="1:7">
      <c r="A322">
        <f t="shared" si="18"/>
        <v>227</v>
      </c>
      <c r="B322">
        <f t="shared" ca="1" si="19"/>
        <v>0.46</v>
      </c>
      <c r="C322" s="6">
        <f t="shared" ca="1" si="20"/>
        <v>-63922.043576258453</v>
      </c>
      <c r="F322">
        <f t="shared" si="22"/>
        <v>231</v>
      </c>
      <c r="G322">
        <f t="shared" ca="1" si="21"/>
        <v>0.41399999999999998</v>
      </c>
    </row>
    <row r="323" spans="1:7">
      <c r="A323">
        <f t="shared" si="18"/>
        <v>228</v>
      </c>
      <c r="B323">
        <f t="shared" ca="1" si="19"/>
        <v>0.63</v>
      </c>
      <c r="C323" s="6">
        <f t="shared" ca="1" si="20"/>
        <v>-63922.043576258453</v>
      </c>
      <c r="F323">
        <f t="shared" si="22"/>
        <v>232</v>
      </c>
      <c r="G323">
        <f t="shared" ca="1" si="21"/>
        <v>0.80600000000000005</v>
      </c>
    </row>
    <row r="324" spans="1:7">
      <c r="A324">
        <f t="shared" si="18"/>
        <v>229</v>
      </c>
      <c r="B324">
        <f t="shared" ca="1" si="19"/>
        <v>0.49</v>
      </c>
      <c r="C324" s="6">
        <f t="shared" ca="1" si="20"/>
        <v>-63922.043576258453</v>
      </c>
      <c r="F324">
        <f t="shared" si="22"/>
        <v>233</v>
      </c>
      <c r="G324">
        <f t="shared" ca="1" si="21"/>
        <v>0.57299999999999995</v>
      </c>
    </row>
    <row r="325" spans="1:7">
      <c r="A325">
        <f t="shared" si="18"/>
        <v>230</v>
      </c>
      <c r="B325">
        <f t="shared" ca="1" si="19"/>
        <v>0.51</v>
      </c>
      <c r="C325" s="6">
        <f t="shared" ca="1" si="20"/>
        <v>-63922.043576258453</v>
      </c>
      <c r="F325">
        <f t="shared" si="22"/>
        <v>234</v>
      </c>
      <c r="G325">
        <f t="shared" ca="1" si="21"/>
        <v>0.41699999999999998</v>
      </c>
    </row>
    <row r="326" spans="1:7">
      <c r="A326">
        <f t="shared" si="18"/>
        <v>231</v>
      </c>
      <c r="B326">
        <f t="shared" ca="1" si="19"/>
        <v>0.4</v>
      </c>
      <c r="C326" s="6">
        <f t="shared" ca="1" si="20"/>
        <v>-63922.043576258453</v>
      </c>
      <c r="F326">
        <f t="shared" si="22"/>
        <v>235</v>
      </c>
      <c r="G326">
        <f t="shared" ca="1" si="21"/>
        <v>0.59699999999999998</v>
      </c>
    </row>
    <row r="327" spans="1:7">
      <c r="A327">
        <f t="shared" si="18"/>
        <v>232</v>
      </c>
      <c r="B327">
        <f t="shared" ca="1" si="19"/>
        <v>0.61</v>
      </c>
      <c r="C327" s="6">
        <f t="shared" ca="1" si="20"/>
        <v>-63922.043576258453</v>
      </c>
      <c r="F327">
        <f t="shared" si="22"/>
        <v>236</v>
      </c>
      <c r="G327">
        <f t="shared" ca="1" si="21"/>
        <v>0.90900000000000003</v>
      </c>
    </row>
    <row r="328" spans="1:7">
      <c r="A328">
        <f t="shared" si="18"/>
        <v>233</v>
      </c>
      <c r="B328">
        <f t="shared" ca="1" si="19"/>
        <v>0.44</v>
      </c>
      <c r="C328" s="6">
        <f t="shared" ca="1" si="20"/>
        <v>-63922.043576258453</v>
      </c>
      <c r="F328">
        <f t="shared" si="22"/>
        <v>237</v>
      </c>
      <c r="G328">
        <f t="shared" ca="1" si="21"/>
        <v>0.93899999999999995</v>
      </c>
    </row>
    <row r="329" spans="1:7">
      <c r="A329">
        <f t="shared" si="18"/>
        <v>234</v>
      </c>
      <c r="B329">
        <f t="shared" ca="1" si="19"/>
        <v>0.59</v>
      </c>
      <c r="C329" s="6">
        <f t="shared" ca="1" si="20"/>
        <v>-63922.043576258453</v>
      </c>
      <c r="F329">
        <f t="shared" si="22"/>
        <v>238</v>
      </c>
      <c r="G329">
        <f t="shared" ca="1" si="21"/>
        <v>0.66900000000000004</v>
      </c>
    </row>
    <row r="330" spans="1:7">
      <c r="A330">
        <f t="shared" si="18"/>
        <v>235</v>
      </c>
      <c r="B330">
        <f t="shared" ca="1" si="19"/>
        <v>0.62</v>
      </c>
      <c r="C330" s="6">
        <f t="shared" ca="1" si="20"/>
        <v>-63922.043576258453</v>
      </c>
      <c r="F330">
        <f t="shared" si="22"/>
        <v>239</v>
      </c>
      <c r="G330">
        <f t="shared" ca="1" si="21"/>
        <v>0.66300000000000003</v>
      </c>
    </row>
    <row r="331" spans="1:7">
      <c r="A331">
        <f t="shared" si="18"/>
        <v>236</v>
      </c>
      <c r="B331">
        <f t="shared" ca="1" si="19"/>
        <v>0.76</v>
      </c>
      <c r="C331" s="6">
        <f t="shared" ca="1" si="20"/>
        <v>-63922.043576258453</v>
      </c>
      <c r="F331">
        <f t="shared" si="22"/>
        <v>240</v>
      </c>
      <c r="G331">
        <f t="shared" ca="1" si="21"/>
        <v>0.58299999999999996</v>
      </c>
    </row>
    <row r="332" spans="1:7">
      <c r="A332">
        <f t="shared" si="18"/>
        <v>237</v>
      </c>
      <c r="B332">
        <f t="shared" ca="1" si="19"/>
        <v>0.55000000000000004</v>
      </c>
      <c r="C332" s="6">
        <f t="shared" ca="1" si="20"/>
        <v>-63922.043576258453</v>
      </c>
      <c r="F332">
        <f t="shared" si="22"/>
        <v>241</v>
      </c>
      <c r="G332">
        <f t="shared" ca="1" si="21"/>
        <v>0.86799999999999999</v>
      </c>
    </row>
    <row r="333" spans="1:7">
      <c r="A333">
        <f t="shared" si="18"/>
        <v>238</v>
      </c>
      <c r="B333">
        <f t="shared" ca="1" si="19"/>
        <v>0.5</v>
      </c>
      <c r="C333" s="6">
        <f t="shared" ca="1" si="20"/>
        <v>-63922.043576258453</v>
      </c>
      <c r="F333">
        <f t="shared" si="22"/>
        <v>242</v>
      </c>
      <c r="G333">
        <f t="shared" ca="1" si="21"/>
        <v>0.84</v>
      </c>
    </row>
    <row r="334" spans="1:7">
      <c r="A334">
        <f t="shared" si="18"/>
        <v>239</v>
      </c>
      <c r="B334">
        <f t="shared" ca="1" si="19"/>
        <v>0.47</v>
      </c>
      <c r="C334" s="6">
        <f t="shared" ca="1" si="20"/>
        <v>-63922.043576258453</v>
      </c>
      <c r="F334">
        <f t="shared" si="22"/>
        <v>243</v>
      </c>
      <c r="G334">
        <f t="shared" ca="1" si="21"/>
        <v>0.70499999999999996</v>
      </c>
    </row>
    <row r="335" spans="1:7">
      <c r="A335">
        <f t="shared" si="18"/>
        <v>240</v>
      </c>
      <c r="B335">
        <f t="shared" ca="1" si="19"/>
        <v>0.44</v>
      </c>
      <c r="C335" s="6">
        <f t="shared" ca="1" si="20"/>
        <v>-63922.043576258453</v>
      </c>
      <c r="F335">
        <f t="shared" si="22"/>
        <v>244</v>
      </c>
      <c r="G335">
        <f t="shared" ca="1" si="21"/>
        <v>0.83299999999999996</v>
      </c>
    </row>
    <row r="336" spans="1:7">
      <c r="A336">
        <f t="shared" si="18"/>
        <v>241</v>
      </c>
      <c r="B336">
        <f t="shared" ca="1" si="19"/>
        <v>0.97</v>
      </c>
      <c r="C336" s="6">
        <f t="shared" ca="1" si="20"/>
        <v>-63922.043576258453</v>
      </c>
      <c r="F336">
        <f t="shared" si="22"/>
        <v>245</v>
      </c>
      <c r="G336">
        <f t="shared" ca="1" si="21"/>
        <v>0.68600000000000005</v>
      </c>
    </row>
    <row r="337" spans="1:7">
      <c r="A337">
        <f t="shared" si="18"/>
        <v>242</v>
      </c>
      <c r="B337">
        <f t="shared" ca="1" si="19"/>
        <v>0.49</v>
      </c>
      <c r="C337" s="6">
        <f t="shared" ca="1" si="20"/>
        <v>-63922.043576258453</v>
      </c>
      <c r="F337">
        <f t="shared" si="22"/>
        <v>246</v>
      </c>
      <c r="G337">
        <f t="shared" ca="1" si="21"/>
        <v>0.49299999999999999</v>
      </c>
    </row>
    <row r="338" spans="1:7">
      <c r="A338">
        <f t="shared" si="18"/>
        <v>243</v>
      </c>
      <c r="B338">
        <f t="shared" ca="1" si="19"/>
        <v>0.78</v>
      </c>
      <c r="C338" s="6">
        <f t="shared" ca="1" si="20"/>
        <v>-63922.043576258453</v>
      </c>
      <c r="F338">
        <f t="shared" si="22"/>
        <v>247</v>
      </c>
      <c r="G338">
        <f t="shared" ca="1" si="21"/>
        <v>0.71699999999999997</v>
      </c>
    </row>
    <row r="339" spans="1:7">
      <c r="A339">
        <f t="shared" si="18"/>
        <v>244</v>
      </c>
      <c r="B339">
        <f t="shared" ca="1" si="19"/>
        <v>0.76</v>
      </c>
      <c r="C339" s="6">
        <f t="shared" ca="1" si="20"/>
        <v>-63922.043576258453</v>
      </c>
      <c r="F339">
        <f t="shared" si="22"/>
        <v>248</v>
      </c>
      <c r="G339">
        <f t="shared" ca="1" si="21"/>
        <v>0.86199999999999999</v>
      </c>
    </row>
    <row r="340" spans="1:7">
      <c r="A340">
        <f t="shared" si="18"/>
        <v>245</v>
      </c>
      <c r="B340">
        <f t="shared" ca="1" si="19"/>
        <v>0.45</v>
      </c>
      <c r="C340" s="6">
        <f t="shared" ca="1" si="20"/>
        <v>-63922.043576258453</v>
      </c>
      <c r="F340">
        <f t="shared" si="22"/>
        <v>249</v>
      </c>
      <c r="G340">
        <f t="shared" ca="1" si="21"/>
        <v>0.45900000000000002</v>
      </c>
    </row>
    <row r="341" spans="1:7">
      <c r="A341">
        <f t="shared" si="18"/>
        <v>246</v>
      </c>
      <c r="B341">
        <f t="shared" ca="1" si="19"/>
        <v>0.72</v>
      </c>
      <c r="C341" s="6">
        <f t="shared" ca="1" si="20"/>
        <v>-63922.043576258453</v>
      </c>
      <c r="F341">
        <f t="shared" si="22"/>
        <v>250</v>
      </c>
      <c r="G341">
        <f t="shared" ca="1" si="21"/>
        <v>0.67400000000000004</v>
      </c>
    </row>
    <row r="342" spans="1:7">
      <c r="A342">
        <f t="shared" si="18"/>
        <v>247</v>
      </c>
      <c r="B342">
        <f t="shared" ca="1" si="19"/>
        <v>0.65</v>
      </c>
      <c r="C342" s="6">
        <f t="shared" ca="1" si="20"/>
        <v>-63922.043576258453</v>
      </c>
      <c r="F342">
        <f t="shared" si="22"/>
        <v>251</v>
      </c>
      <c r="G342">
        <f t="shared" ca="1" si="21"/>
        <v>0.68100000000000005</v>
      </c>
    </row>
    <row r="343" spans="1:7">
      <c r="A343">
        <f t="shared" si="18"/>
        <v>248</v>
      </c>
      <c r="B343">
        <f t="shared" ca="1" si="19"/>
        <v>0.74</v>
      </c>
      <c r="C343" s="6">
        <f t="shared" ca="1" si="20"/>
        <v>-63922.043576258453</v>
      </c>
      <c r="F343">
        <f t="shared" si="22"/>
        <v>252</v>
      </c>
      <c r="G343">
        <f t="shared" ca="1" si="21"/>
        <v>0.81100000000000005</v>
      </c>
    </row>
    <row r="344" spans="1:7">
      <c r="A344">
        <f t="shared" si="18"/>
        <v>249</v>
      </c>
      <c r="B344">
        <f t="shared" ca="1" si="19"/>
        <v>0.53</v>
      </c>
      <c r="C344" s="6">
        <f t="shared" ca="1" si="20"/>
        <v>-63922.043576258453</v>
      </c>
      <c r="F344">
        <f t="shared" si="22"/>
        <v>253</v>
      </c>
      <c r="G344">
        <f t="shared" ca="1" si="21"/>
        <v>0.83499999999999996</v>
      </c>
    </row>
    <row r="345" spans="1:7">
      <c r="A345">
        <f t="shared" si="18"/>
        <v>250</v>
      </c>
      <c r="B345">
        <f t="shared" ca="1" si="19"/>
        <v>0.46</v>
      </c>
      <c r="C345" s="6">
        <f t="shared" ca="1" si="20"/>
        <v>-63922.043576258453</v>
      </c>
      <c r="F345">
        <f t="shared" si="22"/>
        <v>254</v>
      </c>
      <c r="G345">
        <f t="shared" ca="1" si="21"/>
        <v>0.58199999999999996</v>
      </c>
    </row>
    <row r="346" spans="1:7">
      <c r="A346">
        <f t="shared" si="18"/>
        <v>251</v>
      </c>
      <c r="B346">
        <f t="shared" ca="1" si="19"/>
        <v>0.97</v>
      </c>
      <c r="C346" s="6">
        <f t="shared" ca="1" si="20"/>
        <v>-63922.043576258453</v>
      </c>
      <c r="F346">
        <f t="shared" si="22"/>
        <v>255</v>
      </c>
      <c r="G346">
        <f t="shared" ca="1" si="21"/>
        <v>0.629</v>
      </c>
    </row>
    <row r="347" spans="1:7">
      <c r="A347">
        <f t="shared" ref="A347:A410" si="23">ROW()-95</f>
        <v>252</v>
      </c>
      <c r="B347">
        <f t="shared" ref="B347:B410" ca="1" si="24">RANDBETWEEN(40,100)/100</f>
        <v>0.88</v>
      </c>
      <c r="C347" s="6">
        <f t="shared" ref="C347:C410" ca="1" si="25">$B$71 + 0*B347</f>
        <v>-63922.043576258453</v>
      </c>
      <c r="F347">
        <f t="shared" si="22"/>
        <v>256</v>
      </c>
      <c r="G347">
        <f t="shared" ca="1" si="21"/>
        <v>0.59799999999999998</v>
      </c>
    </row>
    <row r="348" spans="1:7">
      <c r="A348">
        <f t="shared" si="23"/>
        <v>253</v>
      </c>
      <c r="B348">
        <f t="shared" ca="1" si="24"/>
        <v>0.8</v>
      </c>
      <c r="C348" s="6">
        <f t="shared" ca="1" si="25"/>
        <v>-63922.043576258453</v>
      </c>
      <c r="F348">
        <f t="shared" si="22"/>
        <v>257</v>
      </c>
      <c r="G348">
        <f t="shared" ca="1" si="21"/>
        <v>0.41499999999999998</v>
      </c>
    </row>
    <row r="349" spans="1:7">
      <c r="A349">
        <f t="shared" si="23"/>
        <v>254</v>
      </c>
      <c r="B349">
        <f t="shared" ca="1" si="24"/>
        <v>0.9</v>
      </c>
      <c r="C349" s="6">
        <f t="shared" ca="1" si="25"/>
        <v>-63922.043576258453</v>
      </c>
      <c r="F349">
        <f t="shared" si="22"/>
        <v>258</v>
      </c>
      <c r="G349">
        <f t="shared" ref="G349:G412" ca="1" si="26">ROUND(RAND()*(1-0.4)+0.4,3)</f>
        <v>0.44</v>
      </c>
    </row>
    <row r="350" spans="1:7">
      <c r="A350">
        <f t="shared" si="23"/>
        <v>255</v>
      </c>
      <c r="B350">
        <f t="shared" ca="1" si="24"/>
        <v>0.61</v>
      </c>
      <c r="C350" s="6">
        <f t="shared" ca="1" si="25"/>
        <v>-63922.043576258453</v>
      </c>
      <c r="F350">
        <f t="shared" ref="F350:F413" si="27">F349+1</f>
        <v>259</v>
      </c>
      <c r="G350">
        <f t="shared" ca="1" si="26"/>
        <v>0.54100000000000004</v>
      </c>
    </row>
    <row r="351" spans="1:7">
      <c r="A351">
        <f t="shared" si="23"/>
        <v>256</v>
      </c>
      <c r="B351">
        <f t="shared" ca="1" si="24"/>
        <v>0.82</v>
      </c>
      <c r="C351" s="6">
        <f t="shared" ca="1" si="25"/>
        <v>-63922.043576258453</v>
      </c>
      <c r="F351">
        <f t="shared" si="27"/>
        <v>260</v>
      </c>
      <c r="G351">
        <f t="shared" ca="1" si="26"/>
        <v>0.55800000000000005</v>
      </c>
    </row>
    <row r="352" spans="1:7">
      <c r="A352">
        <f t="shared" si="23"/>
        <v>257</v>
      </c>
      <c r="B352">
        <f t="shared" ca="1" si="24"/>
        <v>0.75</v>
      </c>
      <c r="C352" s="6">
        <f t="shared" ca="1" si="25"/>
        <v>-63922.043576258453</v>
      </c>
      <c r="F352">
        <f t="shared" si="27"/>
        <v>261</v>
      </c>
      <c r="G352">
        <f t="shared" ca="1" si="26"/>
        <v>0.70499999999999996</v>
      </c>
    </row>
    <row r="353" spans="1:7">
      <c r="A353">
        <f t="shared" si="23"/>
        <v>258</v>
      </c>
      <c r="B353">
        <f t="shared" ca="1" si="24"/>
        <v>0.6</v>
      </c>
      <c r="C353" s="6">
        <f t="shared" ca="1" si="25"/>
        <v>-63922.043576258453</v>
      </c>
      <c r="F353">
        <f t="shared" si="27"/>
        <v>262</v>
      </c>
      <c r="G353">
        <f t="shared" ca="1" si="26"/>
        <v>0.432</v>
      </c>
    </row>
    <row r="354" spans="1:7">
      <c r="A354">
        <f t="shared" si="23"/>
        <v>259</v>
      </c>
      <c r="B354">
        <f t="shared" ca="1" si="24"/>
        <v>0.68</v>
      </c>
      <c r="C354" s="6">
        <f t="shared" ca="1" si="25"/>
        <v>-63922.043576258453</v>
      </c>
      <c r="F354">
        <f t="shared" si="27"/>
        <v>263</v>
      </c>
      <c r="G354">
        <f t="shared" ca="1" si="26"/>
        <v>0.51200000000000001</v>
      </c>
    </row>
    <row r="355" spans="1:7">
      <c r="A355">
        <f t="shared" si="23"/>
        <v>260</v>
      </c>
      <c r="B355">
        <f t="shared" ca="1" si="24"/>
        <v>0.86</v>
      </c>
      <c r="C355" s="6">
        <f t="shared" ca="1" si="25"/>
        <v>-63922.043576258453</v>
      </c>
      <c r="F355">
        <f t="shared" si="27"/>
        <v>264</v>
      </c>
      <c r="G355">
        <f t="shared" ca="1" si="26"/>
        <v>0.72799999999999998</v>
      </c>
    </row>
    <row r="356" spans="1:7">
      <c r="A356">
        <f t="shared" si="23"/>
        <v>261</v>
      </c>
      <c r="B356">
        <f t="shared" ca="1" si="24"/>
        <v>0.93</v>
      </c>
      <c r="C356" s="6">
        <f t="shared" ca="1" si="25"/>
        <v>-63922.043576258453</v>
      </c>
      <c r="F356">
        <f t="shared" si="27"/>
        <v>265</v>
      </c>
      <c r="G356">
        <f t="shared" ca="1" si="26"/>
        <v>0.85899999999999999</v>
      </c>
    </row>
    <row r="357" spans="1:7">
      <c r="A357">
        <f t="shared" si="23"/>
        <v>262</v>
      </c>
      <c r="B357">
        <f t="shared" ca="1" si="24"/>
        <v>0.94</v>
      </c>
      <c r="C357" s="6">
        <f t="shared" ca="1" si="25"/>
        <v>-63922.043576258453</v>
      </c>
      <c r="F357">
        <f t="shared" si="27"/>
        <v>266</v>
      </c>
      <c r="G357">
        <f t="shared" ca="1" si="26"/>
        <v>0.51900000000000002</v>
      </c>
    </row>
    <row r="358" spans="1:7">
      <c r="A358">
        <f t="shared" si="23"/>
        <v>263</v>
      </c>
      <c r="B358">
        <f t="shared" ca="1" si="24"/>
        <v>0.73</v>
      </c>
      <c r="C358" s="6">
        <f t="shared" ca="1" si="25"/>
        <v>-63922.043576258453</v>
      </c>
      <c r="F358">
        <f t="shared" si="27"/>
        <v>267</v>
      </c>
      <c r="G358">
        <f t="shared" ca="1" si="26"/>
        <v>0.54</v>
      </c>
    </row>
    <row r="359" spans="1:7">
      <c r="A359">
        <f t="shared" si="23"/>
        <v>264</v>
      </c>
      <c r="B359">
        <f t="shared" ca="1" si="24"/>
        <v>0.62</v>
      </c>
      <c r="C359" s="6">
        <f t="shared" ca="1" si="25"/>
        <v>-63922.043576258453</v>
      </c>
      <c r="F359">
        <f t="shared" si="27"/>
        <v>268</v>
      </c>
      <c r="G359">
        <f t="shared" ca="1" si="26"/>
        <v>0.78800000000000003</v>
      </c>
    </row>
    <row r="360" spans="1:7">
      <c r="A360">
        <f t="shared" si="23"/>
        <v>265</v>
      </c>
      <c r="B360">
        <f t="shared" ca="1" si="24"/>
        <v>0.54</v>
      </c>
      <c r="C360" s="6">
        <f t="shared" ca="1" si="25"/>
        <v>-63922.043576258453</v>
      </c>
      <c r="F360">
        <f t="shared" si="27"/>
        <v>269</v>
      </c>
      <c r="G360">
        <f t="shared" ca="1" si="26"/>
        <v>0.501</v>
      </c>
    </row>
    <row r="361" spans="1:7">
      <c r="A361">
        <f t="shared" si="23"/>
        <v>266</v>
      </c>
      <c r="B361">
        <f t="shared" ca="1" si="24"/>
        <v>0.69</v>
      </c>
      <c r="C361" s="6">
        <f t="shared" ca="1" si="25"/>
        <v>-63922.043576258453</v>
      </c>
      <c r="F361">
        <f t="shared" si="27"/>
        <v>270</v>
      </c>
      <c r="G361">
        <f t="shared" ca="1" si="26"/>
        <v>0.84899999999999998</v>
      </c>
    </row>
    <row r="362" spans="1:7">
      <c r="A362">
        <f t="shared" si="23"/>
        <v>267</v>
      </c>
      <c r="B362">
        <f t="shared" ca="1" si="24"/>
        <v>0.49</v>
      </c>
      <c r="C362" s="6">
        <f t="shared" ca="1" si="25"/>
        <v>-63922.043576258453</v>
      </c>
      <c r="F362">
        <f t="shared" si="27"/>
        <v>271</v>
      </c>
      <c r="G362">
        <f t="shared" ca="1" si="26"/>
        <v>0.80900000000000005</v>
      </c>
    </row>
    <row r="363" spans="1:7">
      <c r="A363">
        <f t="shared" si="23"/>
        <v>268</v>
      </c>
      <c r="B363">
        <f t="shared" ca="1" si="24"/>
        <v>0.92</v>
      </c>
      <c r="C363" s="6">
        <f t="shared" ca="1" si="25"/>
        <v>-63922.043576258453</v>
      </c>
      <c r="F363">
        <f t="shared" si="27"/>
        <v>272</v>
      </c>
      <c r="G363">
        <f t="shared" ca="1" si="26"/>
        <v>0.75600000000000001</v>
      </c>
    </row>
    <row r="364" spans="1:7">
      <c r="A364">
        <f t="shared" si="23"/>
        <v>269</v>
      </c>
      <c r="B364">
        <f t="shared" ca="1" si="24"/>
        <v>0.59</v>
      </c>
      <c r="C364" s="6">
        <f t="shared" ca="1" si="25"/>
        <v>-63922.043576258453</v>
      </c>
      <c r="F364">
        <f t="shared" si="27"/>
        <v>273</v>
      </c>
      <c r="G364">
        <f t="shared" ca="1" si="26"/>
        <v>0.79600000000000004</v>
      </c>
    </row>
    <row r="365" spans="1:7">
      <c r="A365">
        <f t="shared" si="23"/>
        <v>270</v>
      </c>
      <c r="B365">
        <f t="shared" ca="1" si="24"/>
        <v>0.4</v>
      </c>
      <c r="C365" s="6">
        <f t="shared" ca="1" si="25"/>
        <v>-63922.043576258453</v>
      </c>
      <c r="F365">
        <f t="shared" si="27"/>
        <v>274</v>
      </c>
      <c r="G365">
        <f t="shared" ca="1" si="26"/>
        <v>0.54900000000000004</v>
      </c>
    </row>
    <row r="366" spans="1:7">
      <c r="A366">
        <f t="shared" si="23"/>
        <v>271</v>
      </c>
      <c r="B366">
        <f t="shared" ca="1" si="24"/>
        <v>0.55000000000000004</v>
      </c>
      <c r="C366" s="6">
        <f t="shared" ca="1" si="25"/>
        <v>-63922.043576258453</v>
      </c>
      <c r="F366">
        <f t="shared" si="27"/>
        <v>275</v>
      </c>
      <c r="G366">
        <f t="shared" ca="1" si="26"/>
        <v>0.83899999999999997</v>
      </c>
    </row>
    <row r="367" spans="1:7">
      <c r="A367">
        <f t="shared" si="23"/>
        <v>272</v>
      </c>
      <c r="B367">
        <f t="shared" ca="1" si="24"/>
        <v>0.65</v>
      </c>
      <c r="C367" s="6">
        <f t="shared" ca="1" si="25"/>
        <v>-63922.043576258453</v>
      </c>
      <c r="F367">
        <f t="shared" si="27"/>
        <v>276</v>
      </c>
      <c r="G367">
        <f t="shared" ca="1" si="26"/>
        <v>0.69099999999999995</v>
      </c>
    </row>
    <row r="368" spans="1:7">
      <c r="A368">
        <f t="shared" si="23"/>
        <v>273</v>
      </c>
      <c r="B368">
        <f t="shared" ca="1" si="24"/>
        <v>0.9</v>
      </c>
      <c r="C368" s="6">
        <f t="shared" ca="1" si="25"/>
        <v>-63922.043576258453</v>
      </c>
      <c r="F368">
        <f t="shared" si="27"/>
        <v>277</v>
      </c>
      <c r="G368">
        <f t="shared" ca="1" si="26"/>
        <v>0.79200000000000004</v>
      </c>
    </row>
    <row r="369" spans="1:7">
      <c r="A369">
        <f t="shared" si="23"/>
        <v>274</v>
      </c>
      <c r="B369">
        <f t="shared" ca="1" si="24"/>
        <v>0.74</v>
      </c>
      <c r="C369" s="6">
        <f t="shared" ca="1" si="25"/>
        <v>-63922.043576258453</v>
      </c>
      <c r="F369">
        <f t="shared" si="27"/>
        <v>278</v>
      </c>
      <c r="G369">
        <f t="shared" ca="1" si="26"/>
        <v>0.83799999999999997</v>
      </c>
    </row>
    <row r="370" spans="1:7">
      <c r="A370">
        <f t="shared" si="23"/>
        <v>275</v>
      </c>
      <c r="B370">
        <f t="shared" ca="1" si="24"/>
        <v>0.8</v>
      </c>
      <c r="C370" s="6">
        <f t="shared" ca="1" si="25"/>
        <v>-63922.043576258453</v>
      </c>
      <c r="F370">
        <f t="shared" si="27"/>
        <v>279</v>
      </c>
      <c r="G370">
        <f t="shared" ca="1" si="26"/>
        <v>0.67400000000000004</v>
      </c>
    </row>
    <row r="371" spans="1:7">
      <c r="A371">
        <f t="shared" si="23"/>
        <v>276</v>
      </c>
      <c r="B371">
        <f t="shared" ca="1" si="24"/>
        <v>0.69</v>
      </c>
      <c r="C371" s="6">
        <f t="shared" ca="1" si="25"/>
        <v>-63922.043576258453</v>
      </c>
      <c r="F371">
        <f t="shared" si="27"/>
        <v>280</v>
      </c>
      <c r="G371">
        <f t="shared" ca="1" si="26"/>
        <v>0.54100000000000004</v>
      </c>
    </row>
    <row r="372" spans="1:7">
      <c r="A372">
        <f t="shared" si="23"/>
        <v>277</v>
      </c>
      <c r="B372">
        <f t="shared" ca="1" si="24"/>
        <v>0.55000000000000004</v>
      </c>
      <c r="C372" s="6">
        <f t="shared" ca="1" si="25"/>
        <v>-63922.043576258453</v>
      </c>
      <c r="F372">
        <f t="shared" si="27"/>
        <v>281</v>
      </c>
      <c r="G372">
        <f t="shared" ca="1" si="26"/>
        <v>0.46700000000000003</v>
      </c>
    </row>
    <row r="373" spans="1:7">
      <c r="A373">
        <f t="shared" si="23"/>
        <v>278</v>
      </c>
      <c r="B373">
        <f t="shared" ca="1" si="24"/>
        <v>0.85</v>
      </c>
      <c r="C373" s="6">
        <f t="shared" ca="1" si="25"/>
        <v>-63922.043576258453</v>
      </c>
      <c r="F373">
        <f t="shared" si="27"/>
        <v>282</v>
      </c>
      <c r="G373">
        <f t="shared" ca="1" si="26"/>
        <v>0.44</v>
      </c>
    </row>
    <row r="374" spans="1:7">
      <c r="A374">
        <f t="shared" si="23"/>
        <v>279</v>
      </c>
      <c r="B374">
        <f t="shared" ca="1" si="24"/>
        <v>0.69</v>
      </c>
      <c r="C374" s="6">
        <f t="shared" ca="1" si="25"/>
        <v>-63922.043576258453</v>
      </c>
      <c r="F374">
        <f t="shared" si="27"/>
        <v>283</v>
      </c>
      <c r="G374">
        <f t="shared" ca="1" si="26"/>
        <v>0.50800000000000001</v>
      </c>
    </row>
    <row r="375" spans="1:7">
      <c r="A375">
        <f t="shared" si="23"/>
        <v>280</v>
      </c>
      <c r="B375">
        <f t="shared" ca="1" si="24"/>
        <v>0.97</v>
      </c>
      <c r="C375" s="6">
        <f t="shared" ca="1" si="25"/>
        <v>-63922.043576258453</v>
      </c>
      <c r="F375">
        <f t="shared" si="27"/>
        <v>284</v>
      </c>
      <c r="G375">
        <f t="shared" ca="1" si="26"/>
        <v>0.70499999999999996</v>
      </c>
    </row>
    <row r="376" spans="1:7">
      <c r="A376">
        <f t="shared" si="23"/>
        <v>281</v>
      </c>
      <c r="B376">
        <f t="shared" ca="1" si="24"/>
        <v>0.47</v>
      </c>
      <c r="C376" s="6">
        <f t="shared" ca="1" si="25"/>
        <v>-63922.043576258453</v>
      </c>
      <c r="F376">
        <f t="shared" si="27"/>
        <v>285</v>
      </c>
      <c r="G376">
        <f t="shared" ca="1" si="26"/>
        <v>0.78500000000000003</v>
      </c>
    </row>
    <row r="377" spans="1:7">
      <c r="A377">
        <f t="shared" si="23"/>
        <v>282</v>
      </c>
      <c r="B377">
        <f t="shared" ca="1" si="24"/>
        <v>0.62</v>
      </c>
      <c r="C377" s="6">
        <f t="shared" ca="1" si="25"/>
        <v>-63922.043576258453</v>
      </c>
      <c r="F377">
        <f t="shared" si="27"/>
        <v>286</v>
      </c>
      <c r="G377">
        <f t="shared" ca="1" si="26"/>
        <v>0.88600000000000001</v>
      </c>
    </row>
    <row r="378" spans="1:7">
      <c r="A378">
        <f t="shared" si="23"/>
        <v>283</v>
      </c>
      <c r="B378">
        <f t="shared" ca="1" si="24"/>
        <v>0.67</v>
      </c>
      <c r="C378" s="6">
        <f t="shared" ca="1" si="25"/>
        <v>-63922.043576258453</v>
      </c>
      <c r="F378">
        <f t="shared" si="27"/>
        <v>287</v>
      </c>
      <c r="G378">
        <f t="shared" ca="1" si="26"/>
        <v>0.878</v>
      </c>
    </row>
    <row r="379" spans="1:7">
      <c r="A379">
        <f t="shared" si="23"/>
        <v>284</v>
      </c>
      <c r="B379">
        <f t="shared" ca="1" si="24"/>
        <v>0.44</v>
      </c>
      <c r="C379" s="6">
        <f t="shared" ca="1" si="25"/>
        <v>-63922.043576258453</v>
      </c>
      <c r="F379">
        <f t="shared" si="27"/>
        <v>288</v>
      </c>
      <c r="G379">
        <f t="shared" ca="1" si="26"/>
        <v>0.52700000000000002</v>
      </c>
    </row>
    <row r="380" spans="1:7">
      <c r="A380">
        <f t="shared" si="23"/>
        <v>285</v>
      </c>
      <c r="B380">
        <f t="shared" ca="1" si="24"/>
        <v>0.99</v>
      </c>
      <c r="C380" s="6">
        <f t="shared" ca="1" si="25"/>
        <v>-63922.043576258453</v>
      </c>
      <c r="F380">
        <f t="shared" si="27"/>
        <v>289</v>
      </c>
      <c r="G380">
        <f t="shared" ca="1" si="26"/>
        <v>0.79700000000000004</v>
      </c>
    </row>
    <row r="381" spans="1:7">
      <c r="A381">
        <f t="shared" si="23"/>
        <v>286</v>
      </c>
      <c r="B381">
        <f t="shared" ca="1" si="24"/>
        <v>0.45</v>
      </c>
      <c r="C381" s="6">
        <f t="shared" ca="1" si="25"/>
        <v>-63922.043576258453</v>
      </c>
      <c r="F381">
        <f t="shared" si="27"/>
        <v>290</v>
      </c>
      <c r="G381">
        <f t="shared" ca="1" si="26"/>
        <v>0.79800000000000004</v>
      </c>
    </row>
    <row r="382" spans="1:7">
      <c r="A382">
        <f t="shared" si="23"/>
        <v>287</v>
      </c>
      <c r="B382">
        <f t="shared" ca="1" si="24"/>
        <v>0.97</v>
      </c>
      <c r="C382" s="6">
        <f t="shared" ca="1" si="25"/>
        <v>-63922.043576258453</v>
      </c>
      <c r="F382">
        <f t="shared" si="27"/>
        <v>291</v>
      </c>
      <c r="G382">
        <f t="shared" ca="1" si="26"/>
        <v>0.41399999999999998</v>
      </c>
    </row>
    <row r="383" spans="1:7">
      <c r="A383">
        <f t="shared" si="23"/>
        <v>288</v>
      </c>
      <c r="B383">
        <f t="shared" ca="1" si="24"/>
        <v>0.74</v>
      </c>
      <c r="C383" s="6">
        <f t="shared" ca="1" si="25"/>
        <v>-63922.043576258453</v>
      </c>
      <c r="F383">
        <f t="shared" si="27"/>
        <v>292</v>
      </c>
      <c r="G383">
        <f t="shared" ca="1" si="26"/>
        <v>0.63800000000000001</v>
      </c>
    </row>
    <row r="384" spans="1:7">
      <c r="A384">
        <f t="shared" si="23"/>
        <v>289</v>
      </c>
      <c r="B384">
        <f t="shared" ca="1" si="24"/>
        <v>0.91</v>
      </c>
      <c r="C384" s="6">
        <f t="shared" ca="1" si="25"/>
        <v>-63922.043576258453</v>
      </c>
      <c r="F384">
        <f t="shared" si="27"/>
        <v>293</v>
      </c>
      <c r="G384">
        <f t="shared" ca="1" si="26"/>
        <v>0.69099999999999995</v>
      </c>
    </row>
    <row r="385" spans="1:7">
      <c r="A385">
        <f t="shared" si="23"/>
        <v>290</v>
      </c>
      <c r="B385">
        <f t="shared" ca="1" si="24"/>
        <v>0.63</v>
      </c>
      <c r="C385" s="6">
        <f t="shared" ca="1" si="25"/>
        <v>-63922.043576258453</v>
      </c>
      <c r="F385">
        <f t="shared" si="27"/>
        <v>294</v>
      </c>
      <c r="G385">
        <f t="shared" ca="1" si="26"/>
        <v>0.505</v>
      </c>
    </row>
    <row r="386" spans="1:7">
      <c r="A386">
        <f t="shared" si="23"/>
        <v>291</v>
      </c>
      <c r="B386">
        <f t="shared" ca="1" si="24"/>
        <v>0.47</v>
      </c>
      <c r="C386" s="6">
        <f t="shared" ca="1" si="25"/>
        <v>-63922.043576258453</v>
      </c>
      <c r="F386">
        <f t="shared" si="27"/>
        <v>295</v>
      </c>
      <c r="G386">
        <f t="shared" ca="1" si="26"/>
        <v>0.624</v>
      </c>
    </row>
    <row r="387" spans="1:7">
      <c r="A387">
        <f t="shared" si="23"/>
        <v>292</v>
      </c>
      <c r="B387">
        <f t="shared" ca="1" si="24"/>
        <v>0.98</v>
      </c>
      <c r="C387" s="6">
        <f t="shared" ca="1" si="25"/>
        <v>-63922.043576258453</v>
      </c>
      <c r="F387">
        <f t="shared" si="27"/>
        <v>296</v>
      </c>
      <c r="G387">
        <f t="shared" ca="1" si="26"/>
        <v>0.54800000000000004</v>
      </c>
    </row>
    <row r="388" spans="1:7">
      <c r="A388">
        <f t="shared" si="23"/>
        <v>293</v>
      </c>
      <c r="B388">
        <f t="shared" ca="1" si="24"/>
        <v>0.94</v>
      </c>
      <c r="C388" s="6">
        <f t="shared" ca="1" si="25"/>
        <v>-63922.043576258453</v>
      </c>
      <c r="F388">
        <f t="shared" si="27"/>
        <v>297</v>
      </c>
      <c r="G388">
        <f t="shared" ca="1" si="26"/>
        <v>0.43099999999999999</v>
      </c>
    </row>
    <row r="389" spans="1:7">
      <c r="A389">
        <f t="shared" si="23"/>
        <v>294</v>
      </c>
      <c r="B389">
        <f t="shared" ca="1" si="24"/>
        <v>0.89</v>
      </c>
      <c r="C389" s="6">
        <f t="shared" ca="1" si="25"/>
        <v>-63922.043576258453</v>
      </c>
      <c r="F389">
        <f t="shared" si="27"/>
        <v>298</v>
      </c>
      <c r="G389">
        <f t="shared" ca="1" si="26"/>
        <v>0.56799999999999995</v>
      </c>
    </row>
    <row r="390" spans="1:7">
      <c r="A390">
        <f t="shared" si="23"/>
        <v>295</v>
      </c>
      <c r="B390">
        <f t="shared" ca="1" si="24"/>
        <v>1</v>
      </c>
      <c r="C390" s="6">
        <f t="shared" ca="1" si="25"/>
        <v>-63922.043576258453</v>
      </c>
      <c r="F390">
        <f t="shared" si="27"/>
        <v>299</v>
      </c>
      <c r="G390">
        <f t="shared" ca="1" si="26"/>
        <v>0.98899999999999999</v>
      </c>
    </row>
    <row r="391" spans="1:7">
      <c r="A391">
        <f t="shared" si="23"/>
        <v>296</v>
      </c>
      <c r="B391">
        <f t="shared" ca="1" si="24"/>
        <v>0.69</v>
      </c>
      <c r="C391" s="6">
        <f t="shared" ca="1" si="25"/>
        <v>-63922.043576258453</v>
      </c>
      <c r="F391">
        <f t="shared" si="27"/>
        <v>300</v>
      </c>
      <c r="G391">
        <f t="shared" ca="1" si="26"/>
        <v>0.79400000000000004</v>
      </c>
    </row>
    <row r="392" spans="1:7">
      <c r="A392">
        <f t="shared" si="23"/>
        <v>297</v>
      </c>
      <c r="B392">
        <f t="shared" ca="1" si="24"/>
        <v>1</v>
      </c>
      <c r="C392" s="6">
        <f t="shared" ca="1" si="25"/>
        <v>-63922.043576258453</v>
      </c>
      <c r="F392">
        <f t="shared" si="27"/>
        <v>301</v>
      </c>
      <c r="G392">
        <f t="shared" ca="1" si="26"/>
        <v>0.95099999999999996</v>
      </c>
    </row>
    <row r="393" spans="1:7">
      <c r="A393">
        <f t="shared" si="23"/>
        <v>298</v>
      </c>
      <c r="B393">
        <f t="shared" ca="1" si="24"/>
        <v>0.5</v>
      </c>
      <c r="C393" s="6">
        <f t="shared" ca="1" si="25"/>
        <v>-63922.043576258453</v>
      </c>
      <c r="F393">
        <f t="shared" si="27"/>
        <v>302</v>
      </c>
      <c r="G393">
        <f t="shared" ca="1" si="26"/>
        <v>0.74099999999999999</v>
      </c>
    </row>
    <row r="394" spans="1:7">
      <c r="A394">
        <f t="shared" si="23"/>
        <v>299</v>
      </c>
      <c r="B394">
        <f t="shared" ca="1" si="24"/>
        <v>0.53</v>
      </c>
      <c r="C394" s="6">
        <f t="shared" ca="1" si="25"/>
        <v>-63922.043576258453</v>
      </c>
      <c r="F394">
        <f t="shared" si="27"/>
        <v>303</v>
      </c>
      <c r="G394">
        <f t="shared" ca="1" si="26"/>
        <v>0.55400000000000005</v>
      </c>
    </row>
    <row r="395" spans="1:7">
      <c r="A395">
        <f t="shared" si="23"/>
        <v>300</v>
      </c>
      <c r="B395">
        <f t="shared" ca="1" si="24"/>
        <v>0.72</v>
      </c>
      <c r="C395" s="6">
        <f t="shared" ca="1" si="25"/>
        <v>-63922.043576258453</v>
      </c>
      <c r="F395">
        <f t="shared" si="27"/>
        <v>304</v>
      </c>
      <c r="G395">
        <f t="shared" ca="1" si="26"/>
        <v>0.80200000000000005</v>
      </c>
    </row>
    <row r="396" spans="1:7">
      <c r="A396">
        <f t="shared" si="23"/>
        <v>301</v>
      </c>
      <c r="B396">
        <f t="shared" ca="1" si="24"/>
        <v>0.9</v>
      </c>
      <c r="C396" s="6">
        <f t="shared" ca="1" si="25"/>
        <v>-63922.043576258453</v>
      </c>
      <c r="F396">
        <f t="shared" si="27"/>
        <v>305</v>
      </c>
      <c r="G396">
        <f t="shared" ca="1" si="26"/>
        <v>0.43099999999999999</v>
      </c>
    </row>
    <row r="397" spans="1:7">
      <c r="A397">
        <f t="shared" si="23"/>
        <v>302</v>
      </c>
      <c r="B397">
        <f t="shared" ca="1" si="24"/>
        <v>0.42</v>
      </c>
      <c r="C397" s="6">
        <f t="shared" ca="1" si="25"/>
        <v>-63922.043576258453</v>
      </c>
      <c r="F397">
        <f t="shared" si="27"/>
        <v>306</v>
      </c>
      <c r="G397">
        <f t="shared" ca="1" si="26"/>
        <v>0.63</v>
      </c>
    </row>
    <row r="398" spans="1:7">
      <c r="A398">
        <f t="shared" si="23"/>
        <v>303</v>
      </c>
      <c r="B398">
        <f t="shared" ca="1" si="24"/>
        <v>0.49</v>
      </c>
      <c r="C398" s="6">
        <f t="shared" ca="1" si="25"/>
        <v>-63922.043576258453</v>
      </c>
      <c r="F398">
        <f t="shared" si="27"/>
        <v>307</v>
      </c>
      <c r="G398">
        <f t="shared" ca="1" si="26"/>
        <v>0.58799999999999997</v>
      </c>
    </row>
    <row r="399" spans="1:7">
      <c r="A399">
        <f t="shared" si="23"/>
        <v>304</v>
      </c>
      <c r="B399">
        <f t="shared" ca="1" si="24"/>
        <v>0.56999999999999995</v>
      </c>
      <c r="C399" s="6">
        <f t="shared" ca="1" si="25"/>
        <v>-63922.043576258453</v>
      </c>
      <c r="F399">
        <f t="shared" si="27"/>
        <v>308</v>
      </c>
      <c r="G399">
        <f t="shared" ca="1" si="26"/>
        <v>0.51700000000000002</v>
      </c>
    </row>
    <row r="400" spans="1:7">
      <c r="A400">
        <f t="shared" si="23"/>
        <v>305</v>
      </c>
      <c r="B400">
        <f t="shared" ca="1" si="24"/>
        <v>0.42</v>
      </c>
      <c r="C400" s="6">
        <f t="shared" ca="1" si="25"/>
        <v>-63922.043576258453</v>
      </c>
      <c r="F400">
        <f t="shared" si="27"/>
        <v>309</v>
      </c>
      <c r="G400">
        <f t="shared" ca="1" si="26"/>
        <v>0.57499999999999996</v>
      </c>
    </row>
    <row r="401" spans="1:7">
      <c r="A401">
        <f t="shared" si="23"/>
        <v>306</v>
      </c>
      <c r="B401">
        <f t="shared" ca="1" si="24"/>
        <v>0.57999999999999996</v>
      </c>
      <c r="C401" s="6">
        <f t="shared" ca="1" si="25"/>
        <v>-63922.043576258453</v>
      </c>
      <c r="F401">
        <f t="shared" si="27"/>
        <v>310</v>
      </c>
      <c r="G401">
        <f t="shared" ca="1" si="26"/>
        <v>0.94699999999999995</v>
      </c>
    </row>
    <row r="402" spans="1:7">
      <c r="A402">
        <f t="shared" si="23"/>
        <v>307</v>
      </c>
      <c r="B402">
        <f t="shared" ca="1" si="24"/>
        <v>0.55000000000000004</v>
      </c>
      <c r="C402" s="6">
        <f t="shared" ca="1" si="25"/>
        <v>-63922.043576258453</v>
      </c>
      <c r="F402">
        <f t="shared" si="27"/>
        <v>311</v>
      </c>
      <c r="G402">
        <f t="shared" ca="1" si="26"/>
        <v>0.61099999999999999</v>
      </c>
    </row>
    <row r="403" spans="1:7">
      <c r="A403">
        <f t="shared" si="23"/>
        <v>308</v>
      </c>
      <c r="B403">
        <f t="shared" ca="1" si="24"/>
        <v>0.75</v>
      </c>
      <c r="C403" s="6">
        <f t="shared" ca="1" si="25"/>
        <v>-63922.043576258453</v>
      </c>
      <c r="F403">
        <f t="shared" si="27"/>
        <v>312</v>
      </c>
      <c r="G403">
        <f t="shared" ca="1" si="26"/>
        <v>0.93500000000000005</v>
      </c>
    </row>
    <row r="404" spans="1:7">
      <c r="A404">
        <f t="shared" si="23"/>
        <v>309</v>
      </c>
      <c r="B404">
        <f t="shared" ca="1" si="24"/>
        <v>0.78</v>
      </c>
      <c r="C404" s="6">
        <f t="shared" ca="1" si="25"/>
        <v>-63922.043576258453</v>
      </c>
      <c r="F404">
        <f t="shared" si="27"/>
        <v>313</v>
      </c>
      <c r="G404">
        <f t="shared" ca="1" si="26"/>
        <v>0.59</v>
      </c>
    </row>
    <row r="405" spans="1:7">
      <c r="A405">
        <f t="shared" si="23"/>
        <v>310</v>
      </c>
      <c r="B405">
        <f t="shared" ca="1" si="24"/>
        <v>0.8</v>
      </c>
      <c r="C405" s="6">
        <f t="shared" ca="1" si="25"/>
        <v>-63922.043576258453</v>
      </c>
      <c r="F405">
        <f t="shared" si="27"/>
        <v>314</v>
      </c>
      <c r="G405">
        <f t="shared" ca="1" si="26"/>
        <v>0.73399999999999999</v>
      </c>
    </row>
    <row r="406" spans="1:7">
      <c r="A406">
        <f t="shared" si="23"/>
        <v>311</v>
      </c>
      <c r="B406">
        <f t="shared" ca="1" si="24"/>
        <v>0.56000000000000005</v>
      </c>
      <c r="C406" s="6">
        <f t="shared" ca="1" si="25"/>
        <v>-63922.043576258453</v>
      </c>
      <c r="F406">
        <f t="shared" si="27"/>
        <v>315</v>
      </c>
      <c r="G406">
        <f t="shared" ca="1" si="26"/>
        <v>0.81699999999999995</v>
      </c>
    </row>
    <row r="407" spans="1:7">
      <c r="A407">
        <f t="shared" si="23"/>
        <v>312</v>
      </c>
      <c r="B407">
        <f t="shared" ca="1" si="24"/>
        <v>0.48</v>
      </c>
      <c r="C407" s="6">
        <f t="shared" ca="1" si="25"/>
        <v>-63922.043576258453</v>
      </c>
      <c r="F407">
        <f t="shared" si="27"/>
        <v>316</v>
      </c>
      <c r="G407">
        <f t="shared" ca="1" si="26"/>
        <v>0.98199999999999998</v>
      </c>
    </row>
    <row r="408" spans="1:7">
      <c r="A408">
        <f t="shared" si="23"/>
        <v>313</v>
      </c>
      <c r="B408">
        <f t="shared" ca="1" si="24"/>
        <v>0.85</v>
      </c>
      <c r="C408" s="6">
        <f t="shared" ca="1" si="25"/>
        <v>-63922.043576258453</v>
      </c>
      <c r="F408">
        <f t="shared" si="27"/>
        <v>317</v>
      </c>
      <c r="G408">
        <f t="shared" ca="1" si="26"/>
        <v>0.51500000000000001</v>
      </c>
    </row>
    <row r="409" spans="1:7">
      <c r="A409">
        <f t="shared" si="23"/>
        <v>314</v>
      </c>
      <c r="B409">
        <f t="shared" ca="1" si="24"/>
        <v>0.98</v>
      </c>
      <c r="C409" s="6">
        <f t="shared" ca="1" si="25"/>
        <v>-63922.043576258453</v>
      </c>
      <c r="F409">
        <f t="shared" si="27"/>
        <v>318</v>
      </c>
      <c r="G409">
        <f t="shared" ca="1" si="26"/>
        <v>0.47599999999999998</v>
      </c>
    </row>
    <row r="410" spans="1:7">
      <c r="A410">
        <f t="shared" si="23"/>
        <v>315</v>
      </c>
      <c r="B410">
        <f t="shared" ca="1" si="24"/>
        <v>0.73</v>
      </c>
      <c r="C410" s="6">
        <f t="shared" ca="1" si="25"/>
        <v>-63922.043576258453</v>
      </c>
      <c r="F410">
        <f t="shared" si="27"/>
        <v>319</v>
      </c>
      <c r="G410">
        <f t="shared" ca="1" si="26"/>
        <v>0.77300000000000002</v>
      </c>
    </row>
    <row r="411" spans="1:7">
      <c r="A411">
        <f t="shared" ref="A411:A474" si="28">ROW()-95</f>
        <v>316</v>
      </c>
      <c r="B411">
        <f t="shared" ref="B411:B474" ca="1" si="29">RANDBETWEEN(40,100)/100</f>
        <v>0.83</v>
      </c>
      <c r="C411" s="6">
        <f t="shared" ref="C411:C474" ca="1" si="30">$B$71 + 0*B411</f>
        <v>-63922.043576258453</v>
      </c>
      <c r="F411">
        <f t="shared" si="27"/>
        <v>320</v>
      </c>
      <c r="G411">
        <f t="shared" ca="1" si="26"/>
        <v>0.45600000000000002</v>
      </c>
    </row>
    <row r="412" spans="1:7">
      <c r="A412">
        <f t="shared" si="28"/>
        <v>317</v>
      </c>
      <c r="B412">
        <f t="shared" ca="1" si="29"/>
        <v>0.93</v>
      </c>
      <c r="C412" s="6">
        <f t="shared" ca="1" si="30"/>
        <v>-63922.043576258453</v>
      </c>
      <c r="F412">
        <f t="shared" si="27"/>
        <v>321</v>
      </c>
      <c r="G412">
        <f t="shared" ca="1" si="26"/>
        <v>0.59099999999999997</v>
      </c>
    </row>
    <row r="413" spans="1:7">
      <c r="A413">
        <f t="shared" si="28"/>
        <v>318</v>
      </c>
      <c r="B413">
        <f t="shared" ca="1" si="29"/>
        <v>0.91</v>
      </c>
      <c r="C413" s="6">
        <f t="shared" ca="1" si="30"/>
        <v>-63922.043576258453</v>
      </c>
      <c r="F413">
        <f t="shared" si="27"/>
        <v>322</v>
      </c>
      <c r="G413">
        <f t="shared" ref="G413:G476" ca="1" si="31">ROUND(RAND()*(1-0.4)+0.4,3)</f>
        <v>0.59699999999999998</v>
      </c>
    </row>
    <row r="414" spans="1:7">
      <c r="A414">
        <f t="shared" si="28"/>
        <v>319</v>
      </c>
      <c r="B414">
        <f t="shared" ca="1" si="29"/>
        <v>0.92</v>
      </c>
      <c r="C414" s="6">
        <f t="shared" ca="1" si="30"/>
        <v>-63922.043576258453</v>
      </c>
      <c r="F414">
        <f t="shared" ref="F414:F477" si="32">F413+1</f>
        <v>323</v>
      </c>
      <c r="G414">
        <f t="shared" ca="1" si="31"/>
        <v>0.622</v>
      </c>
    </row>
    <row r="415" spans="1:7">
      <c r="A415">
        <f t="shared" si="28"/>
        <v>320</v>
      </c>
      <c r="B415">
        <f t="shared" ca="1" si="29"/>
        <v>0.44</v>
      </c>
      <c r="C415" s="6">
        <f t="shared" ca="1" si="30"/>
        <v>-63922.043576258453</v>
      </c>
      <c r="F415">
        <f t="shared" si="32"/>
        <v>324</v>
      </c>
      <c r="G415">
        <f t="shared" ca="1" si="31"/>
        <v>0.97899999999999998</v>
      </c>
    </row>
    <row r="416" spans="1:7">
      <c r="A416">
        <f t="shared" si="28"/>
        <v>321</v>
      </c>
      <c r="B416">
        <f t="shared" ca="1" si="29"/>
        <v>0.9</v>
      </c>
      <c r="C416" s="6">
        <f t="shared" ca="1" si="30"/>
        <v>-63922.043576258453</v>
      </c>
      <c r="F416">
        <f t="shared" si="32"/>
        <v>325</v>
      </c>
      <c r="G416">
        <f t="shared" ca="1" si="31"/>
        <v>0.45</v>
      </c>
    </row>
    <row r="417" spans="1:7">
      <c r="A417">
        <f t="shared" si="28"/>
        <v>322</v>
      </c>
      <c r="B417">
        <f t="shared" ca="1" si="29"/>
        <v>0.46</v>
      </c>
      <c r="C417" s="6">
        <f t="shared" ca="1" si="30"/>
        <v>-63922.043576258453</v>
      </c>
      <c r="F417">
        <f t="shared" si="32"/>
        <v>326</v>
      </c>
      <c r="G417">
        <f t="shared" ca="1" si="31"/>
        <v>0.77300000000000002</v>
      </c>
    </row>
    <row r="418" spans="1:7">
      <c r="A418">
        <f t="shared" si="28"/>
        <v>323</v>
      </c>
      <c r="B418">
        <f t="shared" ca="1" si="29"/>
        <v>0.89</v>
      </c>
      <c r="C418" s="6">
        <f t="shared" ca="1" si="30"/>
        <v>-63922.043576258453</v>
      </c>
      <c r="F418">
        <f t="shared" si="32"/>
        <v>327</v>
      </c>
      <c r="G418">
        <f t="shared" ca="1" si="31"/>
        <v>0.58099999999999996</v>
      </c>
    </row>
    <row r="419" spans="1:7">
      <c r="A419">
        <f t="shared" si="28"/>
        <v>324</v>
      </c>
      <c r="B419">
        <f t="shared" ca="1" si="29"/>
        <v>0.71</v>
      </c>
      <c r="C419" s="6">
        <f t="shared" ca="1" si="30"/>
        <v>-63922.043576258453</v>
      </c>
      <c r="F419">
        <f t="shared" si="32"/>
        <v>328</v>
      </c>
      <c r="G419">
        <f t="shared" ca="1" si="31"/>
        <v>0.64400000000000002</v>
      </c>
    </row>
    <row r="420" spans="1:7">
      <c r="A420">
        <f t="shared" si="28"/>
        <v>325</v>
      </c>
      <c r="B420">
        <f t="shared" ca="1" si="29"/>
        <v>0.43</v>
      </c>
      <c r="C420" s="6">
        <f t="shared" ca="1" si="30"/>
        <v>-63922.043576258453</v>
      </c>
      <c r="F420">
        <f t="shared" si="32"/>
        <v>329</v>
      </c>
      <c r="G420">
        <f t="shared" ca="1" si="31"/>
        <v>0.77200000000000002</v>
      </c>
    </row>
    <row r="421" spans="1:7">
      <c r="A421">
        <f t="shared" si="28"/>
        <v>326</v>
      </c>
      <c r="B421">
        <f t="shared" ca="1" si="29"/>
        <v>0.71</v>
      </c>
      <c r="C421" s="6">
        <f t="shared" ca="1" si="30"/>
        <v>-63922.043576258453</v>
      </c>
      <c r="F421">
        <f t="shared" si="32"/>
        <v>330</v>
      </c>
      <c r="G421">
        <f t="shared" ca="1" si="31"/>
        <v>0.54600000000000004</v>
      </c>
    </row>
    <row r="422" spans="1:7">
      <c r="A422">
        <f t="shared" si="28"/>
        <v>327</v>
      </c>
      <c r="B422">
        <f t="shared" ca="1" si="29"/>
        <v>0.41</v>
      </c>
      <c r="C422" s="6">
        <f t="shared" ca="1" si="30"/>
        <v>-63922.043576258453</v>
      </c>
      <c r="F422">
        <f t="shared" si="32"/>
        <v>331</v>
      </c>
      <c r="G422">
        <f t="shared" ca="1" si="31"/>
        <v>0.52900000000000003</v>
      </c>
    </row>
    <row r="423" spans="1:7">
      <c r="A423">
        <f t="shared" si="28"/>
        <v>328</v>
      </c>
      <c r="B423">
        <f t="shared" ca="1" si="29"/>
        <v>0.57999999999999996</v>
      </c>
      <c r="C423" s="6">
        <f t="shared" ca="1" si="30"/>
        <v>-63922.043576258453</v>
      </c>
      <c r="F423">
        <f t="shared" si="32"/>
        <v>332</v>
      </c>
      <c r="G423">
        <f t="shared" ca="1" si="31"/>
        <v>0.624</v>
      </c>
    </row>
    <row r="424" spans="1:7">
      <c r="A424">
        <f t="shared" si="28"/>
        <v>329</v>
      </c>
      <c r="B424">
        <f t="shared" ca="1" si="29"/>
        <v>0.68</v>
      </c>
      <c r="C424" s="6">
        <f t="shared" ca="1" si="30"/>
        <v>-63922.043576258453</v>
      </c>
      <c r="F424">
        <f t="shared" si="32"/>
        <v>333</v>
      </c>
      <c r="G424">
        <f t="shared" ca="1" si="31"/>
        <v>0.42199999999999999</v>
      </c>
    </row>
    <row r="425" spans="1:7">
      <c r="A425">
        <f t="shared" si="28"/>
        <v>330</v>
      </c>
      <c r="B425">
        <f t="shared" ca="1" si="29"/>
        <v>0.99</v>
      </c>
      <c r="C425" s="6">
        <f t="shared" ca="1" si="30"/>
        <v>-63922.043576258453</v>
      </c>
      <c r="F425">
        <f t="shared" si="32"/>
        <v>334</v>
      </c>
      <c r="G425">
        <f t="shared" ca="1" si="31"/>
        <v>0.434</v>
      </c>
    </row>
    <row r="426" spans="1:7">
      <c r="A426">
        <f t="shared" si="28"/>
        <v>331</v>
      </c>
      <c r="B426">
        <f t="shared" ca="1" si="29"/>
        <v>0.65</v>
      </c>
      <c r="C426" s="6">
        <f t="shared" ca="1" si="30"/>
        <v>-63922.043576258453</v>
      </c>
      <c r="F426">
        <f t="shared" si="32"/>
        <v>335</v>
      </c>
      <c r="G426">
        <f t="shared" ca="1" si="31"/>
        <v>0.94199999999999995</v>
      </c>
    </row>
    <row r="427" spans="1:7">
      <c r="A427">
        <f t="shared" si="28"/>
        <v>332</v>
      </c>
      <c r="B427">
        <f t="shared" ca="1" si="29"/>
        <v>0.63</v>
      </c>
      <c r="C427" s="6">
        <f t="shared" ca="1" si="30"/>
        <v>-63922.043576258453</v>
      </c>
      <c r="F427">
        <f t="shared" si="32"/>
        <v>336</v>
      </c>
      <c r="G427">
        <f t="shared" ca="1" si="31"/>
        <v>0.57599999999999996</v>
      </c>
    </row>
    <row r="428" spans="1:7">
      <c r="A428">
        <f t="shared" si="28"/>
        <v>333</v>
      </c>
      <c r="B428">
        <f t="shared" ca="1" si="29"/>
        <v>0.78</v>
      </c>
      <c r="C428" s="6">
        <f t="shared" ca="1" si="30"/>
        <v>-63922.043576258453</v>
      </c>
      <c r="F428">
        <f t="shared" si="32"/>
        <v>337</v>
      </c>
      <c r="G428">
        <f t="shared" ca="1" si="31"/>
        <v>0.46500000000000002</v>
      </c>
    </row>
    <row r="429" spans="1:7">
      <c r="A429">
        <f t="shared" si="28"/>
        <v>334</v>
      </c>
      <c r="B429">
        <f t="shared" ca="1" si="29"/>
        <v>0.72</v>
      </c>
      <c r="C429" s="6">
        <f t="shared" ca="1" si="30"/>
        <v>-63922.043576258453</v>
      </c>
      <c r="F429">
        <f t="shared" si="32"/>
        <v>338</v>
      </c>
      <c r="G429">
        <f t="shared" ca="1" si="31"/>
        <v>0.79200000000000004</v>
      </c>
    </row>
    <row r="430" spans="1:7">
      <c r="A430">
        <f t="shared" si="28"/>
        <v>335</v>
      </c>
      <c r="B430">
        <f t="shared" ca="1" si="29"/>
        <v>0.97</v>
      </c>
      <c r="C430" s="6">
        <f t="shared" ca="1" si="30"/>
        <v>-63922.043576258453</v>
      </c>
      <c r="F430">
        <f t="shared" si="32"/>
        <v>339</v>
      </c>
      <c r="G430">
        <f t="shared" ca="1" si="31"/>
        <v>0.46600000000000003</v>
      </c>
    </row>
    <row r="431" spans="1:7">
      <c r="A431">
        <f t="shared" si="28"/>
        <v>336</v>
      </c>
      <c r="B431">
        <f t="shared" ca="1" si="29"/>
        <v>0.79</v>
      </c>
      <c r="C431" s="6">
        <f t="shared" ca="1" si="30"/>
        <v>-63922.043576258453</v>
      </c>
      <c r="F431">
        <f t="shared" si="32"/>
        <v>340</v>
      </c>
      <c r="G431">
        <f t="shared" ca="1" si="31"/>
        <v>0.44500000000000001</v>
      </c>
    </row>
    <row r="432" spans="1:7">
      <c r="A432">
        <f t="shared" si="28"/>
        <v>337</v>
      </c>
      <c r="B432">
        <f t="shared" ca="1" si="29"/>
        <v>0.88</v>
      </c>
      <c r="C432" s="6">
        <f t="shared" ca="1" si="30"/>
        <v>-63922.043576258453</v>
      </c>
      <c r="F432">
        <f t="shared" si="32"/>
        <v>341</v>
      </c>
      <c r="G432">
        <f t="shared" ca="1" si="31"/>
        <v>0.64700000000000002</v>
      </c>
    </row>
    <row r="433" spans="1:7">
      <c r="A433">
        <f t="shared" si="28"/>
        <v>338</v>
      </c>
      <c r="B433">
        <f t="shared" ca="1" si="29"/>
        <v>0.95</v>
      </c>
      <c r="C433" s="6">
        <f t="shared" ca="1" si="30"/>
        <v>-63922.043576258453</v>
      </c>
      <c r="F433">
        <f t="shared" si="32"/>
        <v>342</v>
      </c>
      <c r="G433">
        <f t="shared" ca="1" si="31"/>
        <v>0.58899999999999997</v>
      </c>
    </row>
    <row r="434" spans="1:7">
      <c r="A434">
        <f t="shared" si="28"/>
        <v>339</v>
      </c>
      <c r="B434">
        <f t="shared" ca="1" si="29"/>
        <v>0.69</v>
      </c>
      <c r="C434" s="6">
        <f t="shared" ca="1" si="30"/>
        <v>-63922.043576258453</v>
      </c>
      <c r="F434">
        <f t="shared" si="32"/>
        <v>343</v>
      </c>
      <c r="G434">
        <f t="shared" ca="1" si="31"/>
        <v>0.69199999999999995</v>
      </c>
    </row>
    <row r="435" spans="1:7">
      <c r="A435">
        <f t="shared" si="28"/>
        <v>340</v>
      </c>
      <c r="B435">
        <f t="shared" ca="1" si="29"/>
        <v>0.91</v>
      </c>
      <c r="C435" s="6">
        <f t="shared" ca="1" si="30"/>
        <v>-63922.043576258453</v>
      </c>
      <c r="F435">
        <f t="shared" si="32"/>
        <v>344</v>
      </c>
      <c r="G435">
        <f t="shared" ca="1" si="31"/>
        <v>0.47099999999999997</v>
      </c>
    </row>
    <row r="436" spans="1:7">
      <c r="A436">
        <f t="shared" si="28"/>
        <v>341</v>
      </c>
      <c r="B436">
        <f t="shared" ca="1" si="29"/>
        <v>0.91</v>
      </c>
      <c r="C436" s="6">
        <f t="shared" ca="1" si="30"/>
        <v>-63922.043576258453</v>
      </c>
      <c r="F436">
        <f t="shared" si="32"/>
        <v>345</v>
      </c>
      <c r="G436">
        <f t="shared" ca="1" si="31"/>
        <v>0.93700000000000006</v>
      </c>
    </row>
    <row r="437" spans="1:7">
      <c r="A437">
        <f t="shared" si="28"/>
        <v>342</v>
      </c>
      <c r="B437">
        <f t="shared" ca="1" si="29"/>
        <v>0.62</v>
      </c>
      <c r="C437" s="6">
        <f t="shared" ca="1" si="30"/>
        <v>-63922.043576258453</v>
      </c>
      <c r="F437">
        <f t="shared" si="32"/>
        <v>346</v>
      </c>
      <c r="G437">
        <f t="shared" ca="1" si="31"/>
        <v>0.88100000000000001</v>
      </c>
    </row>
    <row r="438" spans="1:7">
      <c r="A438">
        <f t="shared" si="28"/>
        <v>343</v>
      </c>
      <c r="B438">
        <f t="shared" ca="1" si="29"/>
        <v>0.56000000000000005</v>
      </c>
      <c r="C438" s="6">
        <f t="shared" ca="1" si="30"/>
        <v>-63922.043576258453</v>
      </c>
      <c r="F438">
        <f t="shared" si="32"/>
        <v>347</v>
      </c>
      <c r="G438">
        <f t="shared" ca="1" si="31"/>
        <v>0.54200000000000004</v>
      </c>
    </row>
    <row r="439" spans="1:7">
      <c r="A439">
        <f t="shared" si="28"/>
        <v>344</v>
      </c>
      <c r="B439">
        <f t="shared" ca="1" si="29"/>
        <v>0.85</v>
      </c>
      <c r="C439" s="6">
        <f t="shared" ca="1" si="30"/>
        <v>-63922.043576258453</v>
      </c>
      <c r="F439">
        <f t="shared" si="32"/>
        <v>348</v>
      </c>
      <c r="G439">
        <f t="shared" ca="1" si="31"/>
        <v>0.51</v>
      </c>
    </row>
    <row r="440" spans="1:7">
      <c r="A440">
        <f t="shared" si="28"/>
        <v>345</v>
      </c>
      <c r="B440">
        <f t="shared" ca="1" si="29"/>
        <v>0.55000000000000004</v>
      </c>
      <c r="C440" s="6">
        <f t="shared" ca="1" si="30"/>
        <v>-63922.043576258453</v>
      </c>
      <c r="F440">
        <f t="shared" si="32"/>
        <v>349</v>
      </c>
      <c r="G440">
        <f t="shared" ca="1" si="31"/>
        <v>0.48599999999999999</v>
      </c>
    </row>
    <row r="441" spans="1:7">
      <c r="A441">
        <f t="shared" si="28"/>
        <v>346</v>
      </c>
      <c r="B441">
        <f t="shared" ca="1" si="29"/>
        <v>0.54</v>
      </c>
      <c r="C441" s="6">
        <f t="shared" ca="1" si="30"/>
        <v>-63922.043576258453</v>
      </c>
      <c r="F441">
        <f t="shared" si="32"/>
        <v>350</v>
      </c>
      <c r="G441">
        <f t="shared" ca="1" si="31"/>
        <v>0.42899999999999999</v>
      </c>
    </row>
    <row r="442" spans="1:7">
      <c r="A442">
        <f t="shared" si="28"/>
        <v>347</v>
      </c>
      <c r="B442">
        <f t="shared" ca="1" si="29"/>
        <v>0.86</v>
      </c>
      <c r="C442" s="6">
        <f t="shared" ca="1" si="30"/>
        <v>-63922.043576258453</v>
      </c>
      <c r="F442">
        <f t="shared" si="32"/>
        <v>351</v>
      </c>
      <c r="G442">
        <f t="shared" ca="1" si="31"/>
        <v>0.6</v>
      </c>
    </row>
    <row r="443" spans="1:7">
      <c r="A443">
        <f t="shared" si="28"/>
        <v>348</v>
      </c>
      <c r="B443">
        <f t="shared" ca="1" si="29"/>
        <v>0.5</v>
      </c>
      <c r="C443" s="6">
        <f t="shared" ca="1" si="30"/>
        <v>-63922.043576258453</v>
      </c>
      <c r="F443">
        <f t="shared" si="32"/>
        <v>352</v>
      </c>
      <c r="G443">
        <f t="shared" ca="1" si="31"/>
        <v>0.879</v>
      </c>
    </row>
    <row r="444" spans="1:7">
      <c r="A444">
        <f t="shared" si="28"/>
        <v>349</v>
      </c>
      <c r="B444">
        <f t="shared" ca="1" si="29"/>
        <v>0.89</v>
      </c>
      <c r="C444" s="6">
        <f t="shared" ca="1" si="30"/>
        <v>-63922.043576258453</v>
      </c>
      <c r="F444">
        <f t="shared" si="32"/>
        <v>353</v>
      </c>
      <c r="G444">
        <f t="shared" ca="1" si="31"/>
        <v>0.94199999999999995</v>
      </c>
    </row>
    <row r="445" spans="1:7">
      <c r="A445">
        <f t="shared" si="28"/>
        <v>350</v>
      </c>
      <c r="B445">
        <f t="shared" ca="1" si="29"/>
        <v>0.81</v>
      </c>
      <c r="C445" s="6">
        <f t="shared" ca="1" si="30"/>
        <v>-63922.043576258453</v>
      </c>
      <c r="F445">
        <f t="shared" si="32"/>
        <v>354</v>
      </c>
      <c r="G445">
        <f t="shared" ca="1" si="31"/>
        <v>0.67800000000000005</v>
      </c>
    </row>
    <row r="446" spans="1:7">
      <c r="A446">
        <f t="shared" si="28"/>
        <v>351</v>
      </c>
      <c r="B446">
        <f t="shared" ca="1" si="29"/>
        <v>0.46</v>
      </c>
      <c r="C446" s="6">
        <f t="shared" ca="1" si="30"/>
        <v>-63922.043576258453</v>
      </c>
      <c r="F446">
        <f t="shared" si="32"/>
        <v>355</v>
      </c>
      <c r="G446">
        <f t="shared" ca="1" si="31"/>
        <v>0.83099999999999996</v>
      </c>
    </row>
    <row r="447" spans="1:7">
      <c r="A447">
        <f t="shared" si="28"/>
        <v>352</v>
      </c>
      <c r="B447">
        <f t="shared" ca="1" si="29"/>
        <v>0.97</v>
      </c>
      <c r="C447" s="6">
        <f t="shared" ca="1" si="30"/>
        <v>-63922.043576258453</v>
      </c>
      <c r="F447">
        <f t="shared" si="32"/>
        <v>356</v>
      </c>
      <c r="G447">
        <f t="shared" ca="1" si="31"/>
        <v>0.55700000000000005</v>
      </c>
    </row>
    <row r="448" spans="1:7">
      <c r="A448">
        <f t="shared" si="28"/>
        <v>353</v>
      </c>
      <c r="B448">
        <f t="shared" ca="1" si="29"/>
        <v>0.43</v>
      </c>
      <c r="C448" s="6">
        <f t="shared" ca="1" si="30"/>
        <v>-63922.043576258453</v>
      </c>
      <c r="F448">
        <f t="shared" si="32"/>
        <v>357</v>
      </c>
      <c r="G448">
        <f t="shared" ca="1" si="31"/>
        <v>0.97</v>
      </c>
    </row>
    <row r="449" spans="1:7">
      <c r="A449">
        <f t="shared" si="28"/>
        <v>354</v>
      </c>
      <c r="B449">
        <f t="shared" ca="1" si="29"/>
        <v>0.48</v>
      </c>
      <c r="C449" s="6">
        <f t="shared" ca="1" si="30"/>
        <v>-63922.043576258453</v>
      </c>
      <c r="F449">
        <f t="shared" si="32"/>
        <v>358</v>
      </c>
      <c r="G449">
        <f t="shared" ca="1" si="31"/>
        <v>0.89800000000000002</v>
      </c>
    </row>
    <row r="450" spans="1:7">
      <c r="A450">
        <f t="shared" si="28"/>
        <v>355</v>
      </c>
      <c r="B450">
        <f t="shared" ca="1" si="29"/>
        <v>0.72</v>
      </c>
      <c r="C450" s="6">
        <f t="shared" ca="1" si="30"/>
        <v>-63922.043576258453</v>
      </c>
      <c r="F450">
        <f t="shared" si="32"/>
        <v>359</v>
      </c>
      <c r="G450">
        <f t="shared" ca="1" si="31"/>
        <v>0.91800000000000004</v>
      </c>
    </row>
    <row r="451" spans="1:7">
      <c r="A451">
        <f t="shared" si="28"/>
        <v>356</v>
      </c>
      <c r="B451">
        <f t="shared" ca="1" si="29"/>
        <v>0.68</v>
      </c>
      <c r="C451" s="6">
        <f t="shared" ca="1" si="30"/>
        <v>-63922.043576258453</v>
      </c>
      <c r="F451">
        <f t="shared" si="32"/>
        <v>360</v>
      </c>
      <c r="G451">
        <f t="shared" ca="1" si="31"/>
        <v>0.63400000000000001</v>
      </c>
    </row>
    <row r="452" spans="1:7">
      <c r="A452">
        <f t="shared" si="28"/>
        <v>357</v>
      </c>
      <c r="B452">
        <f t="shared" ca="1" si="29"/>
        <v>0.89</v>
      </c>
      <c r="C452" s="6">
        <f t="shared" ca="1" si="30"/>
        <v>-63922.043576258453</v>
      </c>
      <c r="F452">
        <f t="shared" si="32"/>
        <v>361</v>
      </c>
      <c r="G452">
        <f t="shared" ca="1" si="31"/>
        <v>0.503</v>
      </c>
    </row>
    <row r="453" spans="1:7">
      <c r="A453">
        <f t="shared" si="28"/>
        <v>358</v>
      </c>
      <c r="B453">
        <f t="shared" ca="1" si="29"/>
        <v>0.53</v>
      </c>
      <c r="C453" s="6">
        <f t="shared" ca="1" si="30"/>
        <v>-63922.043576258453</v>
      </c>
      <c r="F453">
        <f t="shared" si="32"/>
        <v>362</v>
      </c>
      <c r="G453">
        <f t="shared" ca="1" si="31"/>
        <v>0.82799999999999996</v>
      </c>
    </row>
    <row r="454" spans="1:7">
      <c r="A454">
        <f t="shared" si="28"/>
        <v>359</v>
      </c>
      <c r="B454">
        <f t="shared" ca="1" si="29"/>
        <v>1</v>
      </c>
      <c r="C454" s="6">
        <f t="shared" ca="1" si="30"/>
        <v>-63922.043576258453</v>
      </c>
      <c r="F454">
        <f t="shared" si="32"/>
        <v>363</v>
      </c>
      <c r="G454">
        <f t="shared" ca="1" si="31"/>
        <v>0.504</v>
      </c>
    </row>
    <row r="455" spans="1:7">
      <c r="A455">
        <f t="shared" si="28"/>
        <v>360</v>
      </c>
      <c r="B455">
        <f t="shared" ca="1" si="29"/>
        <v>0.55000000000000004</v>
      </c>
      <c r="C455" s="6">
        <f t="shared" ca="1" si="30"/>
        <v>-63922.043576258453</v>
      </c>
      <c r="F455">
        <f t="shared" si="32"/>
        <v>364</v>
      </c>
      <c r="G455">
        <f t="shared" ca="1" si="31"/>
        <v>0.49299999999999999</v>
      </c>
    </row>
    <row r="456" spans="1:7">
      <c r="A456">
        <f t="shared" si="28"/>
        <v>361</v>
      </c>
      <c r="B456">
        <f t="shared" ca="1" si="29"/>
        <v>0.71</v>
      </c>
      <c r="C456" s="6">
        <f t="shared" ca="1" si="30"/>
        <v>-63922.043576258453</v>
      </c>
      <c r="F456">
        <f t="shared" si="32"/>
        <v>365</v>
      </c>
      <c r="G456">
        <f t="shared" ca="1" si="31"/>
        <v>0.40300000000000002</v>
      </c>
    </row>
    <row r="457" spans="1:7">
      <c r="A457">
        <f t="shared" si="28"/>
        <v>362</v>
      </c>
      <c r="B457">
        <f t="shared" ca="1" si="29"/>
        <v>0.64</v>
      </c>
      <c r="C457" s="6">
        <f t="shared" ca="1" si="30"/>
        <v>-63922.043576258453</v>
      </c>
      <c r="F457">
        <f t="shared" si="32"/>
        <v>366</v>
      </c>
      <c r="G457">
        <f t="shared" ca="1" si="31"/>
        <v>0.65500000000000003</v>
      </c>
    </row>
    <row r="458" spans="1:7">
      <c r="A458">
        <f t="shared" si="28"/>
        <v>363</v>
      </c>
      <c r="B458">
        <f t="shared" ca="1" si="29"/>
        <v>0.92</v>
      </c>
      <c r="C458" s="6">
        <f t="shared" ca="1" si="30"/>
        <v>-63922.043576258453</v>
      </c>
      <c r="F458">
        <f t="shared" si="32"/>
        <v>367</v>
      </c>
      <c r="G458">
        <f t="shared" ca="1" si="31"/>
        <v>0.71</v>
      </c>
    </row>
    <row r="459" spans="1:7">
      <c r="A459">
        <f t="shared" si="28"/>
        <v>364</v>
      </c>
      <c r="B459">
        <f t="shared" ca="1" si="29"/>
        <v>0.53</v>
      </c>
      <c r="C459" s="6">
        <f t="shared" ca="1" si="30"/>
        <v>-63922.043576258453</v>
      </c>
      <c r="F459">
        <f t="shared" si="32"/>
        <v>368</v>
      </c>
      <c r="G459">
        <f t="shared" ca="1" si="31"/>
        <v>0.65800000000000003</v>
      </c>
    </row>
    <row r="460" spans="1:7">
      <c r="A460">
        <f t="shared" si="28"/>
        <v>365</v>
      </c>
      <c r="B460">
        <f t="shared" ca="1" si="29"/>
        <v>0.68</v>
      </c>
      <c r="C460" s="6">
        <f t="shared" ca="1" si="30"/>
        <v>-63922.043576258453</v>
      </c>
      <c r="F460">
        <f t="shared" si="32"/>
        <v>369</v>
      </c>
      <c r="G460">
        <f t="shared" ca="1" si="31"/>
        <v>0.91800000000000004</v>
      </c>
    </row>
    <row r="461" spans="1:7">
      <c r="A461">
        <f t="shared" si="28"/>
        <v>366</v>
      </c>
      <c r="B461">
        <f t="shared" ca="1" si="29"/>
        <v>0.8</v>
      </c>
      <c r="C461" s="6">
        <f t="shared" ca="1" si="30"/>
        <v>-63922.043576258453</v>
      </c>
      <c r="F461">
        <f t="shared" si="32"/>
        <v>370</v>
      </c>
      <c r="G461">
        <f t="shared" ca="1" si="31"/>
        <v>0.52400000000000002</v>
      </c>
    </row>
    <row r="462" spans="1:7">
      <c r="A462">
        <f t="shared" si="28"/>
        <v>367</v>
      </c>
      <c r="B462">
        <f t="shared" ca="1" si="29"/>
        <v>0.46</v>
      </c>
      <c r="C462" s="6">
        <f t="shared" ca="1" si="30"/>
        <v>-63922.043576258453</v>
      </c>
      <c r="F462">
        <f t="shared" si="32"/>
        <v>371</v>
      </c>
      <c r="G462">
        <f t="shared" ca="1" si="31"/>
        <v>0.69499999999999995</v>
      </c>
    </row>
    <row r="463" spans="1:7">
      <c r="A463">
        <f t="shared" si="28"/>
        <v>368</v>
      </c>
      <c r="B463">
        <f t="shared" ca="1" si="29"/>
        <v>0.42</v>
      </c>
      <c r="C463" s="6">
        <f t="shared" ca="1" si="30"/>
        <v>-63922.043576258453</v>
      </c>
      <c r="F463">
        <f t="shared" si="32"/>
        <v>372</v>
      </c>
      <c r="G463">
        <f t="shared" ca="1" si="31"/>
        <v>0.502</v>
      </c>
    </row>
    <row r="464" spans="1:7">
      <c r="A464">
        <f t="shared" si="28"/>
        <v>369</v>
      </c>
      <c r="B464">
        <f t="shared" ca="1" si="29"/>
        <v>0.63</v>
      </c>
      <c r="C464" s="6">
        <f t="shared" ca="1" si="30"/>
        <v>-63922.043576258453</v>
      </c>
      <c r="F464">
        <f t="shared" si="32"/>
        <v>373</v>
      </c>
      <c r="G464">
        <f t="shared" ca="1" si="31"/>
        <v>0.68700000000000006</v>
      </c>
    </row>
    <row r="465" spans="1:7">
      <c r="A465">
        <f t="shared" si="28"/>
        <v>370</v>
      </c>
      <c r="B465">
        <f t="shared" ca="1" si="29"/>
        <v>0.75</v>
      </c>
      <c r="C465" s="6">
        <f t="shared" ca="1" si="30"/>
        <v>-63922.043576258453</v>
      </c>
      <c r="F465">
        <f t="shared" si="32"/>
        <v>374</v>
      </c>
      <c r="G465">
        <f t="shared" ca="1" si="31"/>
        <v>0.97199999999999998</v>
      </c>
    </row>
    <row r="466" spans="1:7">
      <c r="A466">
        <f t="shared" si="28"/>
        <v>371</v>
      </c>
      <c r="B466">
        <f t="shared" ca="1" si="29"/>
        <v>0.54</v>
      </c>
      <c r="C466" s="6">
        <f t="shared" ca="1" si="30"/>
        <v>-63922.043576258453</v>
      </c>
      <c r="F466">
        <f t="shared" si="32"/>
        <v>375</v>
      </c>
      <c r="G466">
        <f t="shared" ca="1" si="31"/>
        <v>0.495</v>
      </c>
    </row>
    <row r="467" spans="1:7">
      <c r="A467">
        <f t="shared" si="28"/>
        <v>372</v>
      </c>
      <c r="B467">
        <f t="shared" ca="1" si="29"/>
        <v>0.92</v>
      </c>
      <c r="C467" s="6">
        <f t="shared" ca="1" si="30"/>
        <v>-63922.043576258453</v>
      </c>
      <c r="F467">
        <f t="shared" si="32"/>
        <v>376</v>
      </c>
      <c r="G467">
        <f t="shared" ca="1" si="31"/>
        <v>0.745</v>
      </c>
    </row>
    <row r="468" spans="1:7">
      <c r="A468">
        <f t="shared" si="28"/>
        <v>373</v>
      </c>
      <c r="B468">
        <f t="shared" ca="1" si="29"/>
        <v>0.7</v>
      </c>
      <c r="C468" s="6">
        <f t="shared" ca="1" si="30"/>
        <v>-63922.043576258453</v>
      </c>
      <c r="F468">
        <f t="shared" si="32"/>
        <v>377</v>
      </c>
      <c r="G468">
        <f t="shared" ca="1" si="31"/>
        <v>0.73699999999999999</v>
      </c>
    </row>
    <row r="469" spans="1:7">
      <c r="A469">
        <f t="shared" si="28"/>
        <v>374</v>
      </c>
      <c r="B469">
        <f t="shared" ca="1" si="29"/>
        <v>0.6</v>
      </c>
      <c r="C469" s="6">
        <f t="shared" ca="1" si="30"/>
        <v>-63922.043576258453</v>
      </c>
      <c r="F469">
        <f t="shared" si="32"/>
        <v>378</v>
      </c>
      <c r="G469">
        <f t="shared" ca="1" si="31"/>
        <v>0.46600000000000003</v>
      </c>
    </row>
    <row r="470" spans="1:7">
      <c r="A470">
        <f t="shared" si="28"/>
        <v>375</v>
      </c>
      <c r="B470">
        <f t="shared" ca="1" si="29"/>
        <v>0.65</v>
      </c>
      <c r="C470" s="6">
        <f t="shared" ca="1" si="30"/>
        <v>-63922.043576258453</v>
      </c>
      <c r="F470">
        <f t="shared" si="32"/>
        <v>379</v>
      </c>
      <c r="G470">
        <f t="shared" ca="1" si="31"/>
        <v>0.56799999999999995</v>
      </c>
    </row>
    <row r="471" spans="1:7">
      <c r="A471">
        <f t="shared" si="28"/>
        <v>376</v>
      </c>
      <c r="B471">
        <f t="shared" ca="1" si="29"/>
        <v>0.87</v>
      </c>
      <c r="C471" s="6">
        <f t="shared" ca="1" si="30"/>
        <v>-63922.043576258453</v>
      </c>
      <c r="F471">
        <f t="shared" si="32"/>
        <v>380</v>
      </c>
      <c r="G471">
        <f t="shared" ca="1" si="31"/>
        <v>0.66400000000000003</v>
      </c>
    </row>
    <row r="472" spans="1:7">
      <c r="A472">
        <f t="shared" si="28"/>
        <v>377</v>
      </c>
      <c r="B472">
        <f t="shared" ca="1" si="29"/>
        <v>0.55000000000000004</v>
      </c>
      <c r="C472" s="6">
        <f t="shared" ca="1" si="30"/>
        <v>-63922.043576258453</v>
      </c>
      <c r="F472">
        <f t="shared" si="32"/>
        <v>381</v>
      </c>
      <c r="G472">
        <f t="shared" ca="1" si="31"/>
        <v>0.81200000000000006</v>
      </c>
    </row>
    <row r="473" spans="1:7">
      <c r="A473">
        <f t="shared" si="28"/>
        <v>378</v>
      </c>
      <c r="B473">
        <f t="shared" ca="1" si="29"/>
        <v>0.75</v>
      </c>
      <c r="C473" s="6">
        <f t="shared" ca="1" si="30"/>
        <v>-63922.043576258453</v>
      </c>
      <c r="F473">
        <f t="shared" si="32"/>
        <v>382</v>
      </c>
      <c r="G473">
        <f t="shared" ca="1" si="31"/>
        <v>0.97499999999999998</v>
      </c>
    </row>
    <row r="474" spans="1:7">
      <c r="A474">
        <f t="shared" si="28"/>
        <v>379</v>
      </c>
      <c r="B474">
        <f t="shared" ca="1" si="29"/>
        <v>0.96</v>
      </c>
      <c r="C474" s="6">
        <f t="shared" ca="1" si="30"/>
        <v>-63922.043576258453</v>
      </c>
      <c r="F474">
        <f t="shared" si="32"/>
        <v>383</v>
      </c>
      <c r="G474">
        <f t="shared" ca="1" si="31"/>
        <v>0.621</v>
      </c>
    </row>
    <row r="475" spans="1:7">
      <c r="A475">
        <f t="shared" ref="A475:A538" si="33">ROW()-95</f>
        <v>380</v>
      </c>
      <c r="B475">
        <f t="shared" ref="B475:B538" ca="1" si="34">RANDBETWEEN(40,100)/100</f>
        <v>0.75</v>
      </c>
      <c r="C475" s="6">
        <f t="shared" ref="C475:C538" ca="1" si="35">$B$71 + 0*B475</f>
        <v>-63922.043576258453</v>
      </c>
      <c r="F475">
        <f t="shared" si="32"/>
        <v>384</v>
      </c>
      <c r="G475">
        <f t="shared" ca="1" si="31"/>
        <v>0.54200000000000004</v>
      </c>
    </row>
    <row r="476" spans="1:7">
      <c r="A476">
        <f t="shared" si="33"/>
        <v>381</v>
      </c>
      <c r="B476">
        <f t="shared" ca="1" si="34"/>
        <v>0.88</v>
      </c>
      <c r="C476" s="6">
        <f t="shared" ca="1" si="35"/>
        <v>-63922.043576258453</v>
      </c>
      <c r="F476">
        <f t="shared" si="32"/>
        <v>385</v>
      </c>
      <c r="G476">
        <f t="shared" ca="1" si="31"/>
        <v>0.61899999999999999</v>
      </c>
    </row>
    <row r="477" spans="1:7">
      <c r="A477">
        <f t="shared" si="33"/>
        <v>382</v>
      </c>
      <c r="B477">
        <f t="shared" ca="1" si="34"/>
        <v>0.66</v>
      </c>
      <c r="C477" s="6">
        <f t="shared" ca="1" si="35"/>
        <v>-63922.043576258453</v>
      </c>
      <c r="F477">
        <f t="shared" si="32"/>
        <v>386</v>
      </c>
      <c r="G477">
        <f t="shared" ref="G477:G540" ca="1" si="36">ROUND(RAND()*(1-0.4)+0.4,3)</f>
        <v>0.90400000000000003</v>
      </c>
    </row>
    <row r="478" spans="1:7">
      <c r="A478">
        <f t="shared" si="33"/>
        <v>383</v>
      </c>
      <c r="B478">
        <f t="shared" ca="1" si="34"/>
        <v>0.9</v>
      </c>
      <c r="C478" s="6">
        <f t="shared" ca="1" si="35"/>
        <v>-63922.043576258453</v>
      </c>
      <c r="F478">
        <f t="shared" ref="F478:F541" si="37">F477+1</f>
        <v>387</v>
      </c>
      <c r="G478">
        <f t="shared" ca="1" si="36"/>
        <v>0.629</v>
      </c>
    </row>
    <row r="479" spans="1:7">
      <c r="A479">
        <f t="shared" si="33"/>
        <v>384</v>
      </c>
      <c r="B479">
        <f t="shared" ca="1" si="34"/>
        <v>0.66</v>
      </c>
      <c r="C479" s="6">
        <f t="shared" ca="1" si="35"/>
        <v>-63922.043576258453</v>
      </c>
      <c r="F479">
        <f t="shared" si="37"/>
        <v>388</v>
      </c>
      <c r="G479">
        <f t="shared" ca="1" si="36"/>
        <v>0.84899999999999998</v>
      </c>
    </row>
    <row r="480" spans="1:7">
      <c r="A480">
        <f t="shared" si="33"/>
        <v>385</v>
      </c>
      <c r="B480">
        <f t="shared" ca="1" si="34"/>
        <v>0.65</v>
      </c>
      <c r="C480" s="6">
        <f t="shared" ca="1" si="35"/>
        <v>-63922.043576258453</v>
      </c>
      <c r="F480">
        <f t="shared" si="37"/>
        <v>389</v>
      </c>
      <c r="G480">
        <f t="shared" ca="1" si="36"/>
        <v>0.81</v>
      </c>
    </row>
    <row r="481" spans="1:7">
      <c r="A481">
        <f t="shared" si="33"/>
        <v>386</v>
      </c>
      <c r="B481">
        <f t="shared" ca="1" si="34"/>
        <v>0.83</v>
      </c>
      <c r="C481" s="6">
        <f t="shared" ca="1" si="35"/>
        <v>-63922.043576258453</v>
      </c>
      <c r="F481">
        <f t="shared" si="37"/>
        <v>390</v>
      </c>
      <c r="G481">
        <f t="shared" ca="1" si="36"/>
        <v>0.74399999999999999</v>
      </c>
    </row>
    <row r="482" spans="1:7">
      <c r="A482">
        <f t="shared" si="33"/>
        <v>387</v>
      </c>
      <c r="B482">
        <f t="shared" ca="1" si="34"/>
        <v>0.62</v>
      </c>
      <c r="C482" s="6">
        <f t="shared" ca="1" si="35"/>
        <v>-63922.043576258453</v>
      </c>
      <c r="F482">
        <f t="shared" si="37"/>
        <v>391</v>
      </c>
      <c r="G482">
        <f t="shared" ca="1" si="36"/>
        <v>0.56499999999999995</v>
      </c>
    </row>
    <row r="483" spans="1:7">
      <c r="A483">
        <f t="shared" si="33"/>
        <v>388</v>
      </c>
      <c r="B483">
        <f t="shared" ca="1" si="34"/>
        <v>0.92</v>
      </c>
      <c r="C483" s="6">
        <f t="shared" ca="1" si="35"/>
        <v>-63922.043576258453</v>
      </c>
      <c r="F483">
        <f t="shared" si="37"/>
        <v>392</v>
      </c>
      <c r="G483">
        <f t="shared" ca="1" si="36"/>
        <v>0.97899999999999998</v>
      </c>
    </row>
    <row r="484" spans="1:7">
      <c r="A484">
        <f t="shared" si="33"/>
        <v>389</v>
      </c>
      <c r="B484">
        <f t="shared" ca="1" si="34"/>
        <v>0.8</v>
      </c>
      <c r="C484" s="6">
        <f t="shared" ca="1" si="35"/>
        <v>-63922.043576258453</v>
      </c>
      <c r="F484">
        <f t="shared" si="37"/>
        <v>393</v>
      </c>
      <c r="G484">
        <f t="shared" ca="1" si="36"/>
        <v>0.70399999999999996</v>
      </c>
    </row>
    <row r="485" spans="1:7">
      <c r="A485">
        <f t="shared" si="33"/>
        <v>390</v>
      </c>
      <c r="B485">
        <f t="shared" ca="1" si="34"/>
        <v>0.96</v>
      </c>
      <c r="C485" s="6">
        <f t="shared" ca="1" si="35"/>
        <v>-63922.043576258453</v>
      </c>
      <c r="F485">
        <f t="shared" si="37"/>
        <v>394</v>
      </c>
      <c r="G485">
        <f t="shared" ca="1" si="36"/>
        <v>0.53700000000000003</v>
      </c>
    </row>
    <row r="486" spans="1:7">
      <c r="A486">
        <f t="shared" si="33"/>
        <v>391</v>
      </c>
      <c r="B486">
        <f t="shared" ca="1" si="34"/>
        <v>0.4</v>
      </c>
      <c r="C486" s="6">
        <f t="shared" ca="1" si="35"/>
        <v>-63922.043576258453</v>
      </c>
      <c r="F486">
        <f t="shared" si="37"/>
        <v>395</v>
      </c>
      <c r="G486">
        <f t="shared" ca="1" si="36"/>
        <v>0.94499999999999995</v>
      </c>
    </row>
    <row r="487" spans="1:7">
      <c r="A487">
        <f t="shared" si="33"/>
        <v>392</v>
      </c>
      <c r="B487">
        <f t="shared" ca="1" si="34"/>
        <v>0.92</v>
      </c>
      <c r="C487" s="6">
        <f t="shared" ca="1" si="35"/>
        <v>-63922.043576258453</v>
      </c>
      <c r="F487">
        <f t="shared" si="37"/>
        <v>396</v>
      </c>
      <c r="G487">
        <f t="shared" ca="1" si="36"/>
        <v>0.84799999999999998</v>
      </c>
    </row>
    <row r="488" spans="1:7">
      <c r="A488">
        <f t="shared" si="33"/>
        <v>393</v>
      </c>
      <c r="B488">
        <f t="shared" ca="1" si="34"/>
        <v>0.81</v>
      </c>
      <c r="C488" s="6">
        <f t="shared" ca="1" si="35"/>
        <v>-63922.043576258453</v>
      </c>
      <c r="F488">
        <f t="shared" si="37"/>
        <v>397</v>
      </c>
      <c r="G488">
        <f t="shared" ca="1" si="36"/>
        <v>0.93300000000000005</v>
      </c>
    </row>
    <row r="489" spans="1:7">
      <c r="A489">
        <f t="shared" si="33"/>
        <v>394</v>
      </c>
      <c r="B489">
        <f t="shared" ca="1" si="34"/>
        <v>0.72</v>
      </c>
      <c r="C489" s="6">
        <f t="shared" ca="1" si="35"/>
        <v>-63922.043576258453</v>
      </c>
      <c r="F489">
        <f t="shared" si="37"/>
        <v>398</v>
      </c>
      <c r="G489">
        <f t="shared" ca="1" si="36"/>
        <v>0.56000000000000005</v>
      </c>
    </row>
    <row r="490" spans="1:7">
      <c r="A490">
        <f t="shared" si="33"/>
        <v>395</v>
      </c>
      <c r="B490">
        <f t="shared" ca="1" si="34"/>
        <v>0.85</v>
      </c>
      <c r="C490" s="6">
        <f t="shared" ca="1" si="35"/>
        <v>-63922.043576258453</v>
      </c>
      <c r="F490">
        <f t="shared" si="37"/>
        <v>399</v>
      </c>
      <c r="G490">
        <f t="shared" ca="1" si="36"/>
        <v>0.59499999999999997</v>
      </c>
    </row>
    <row r="491" spans="1:7">
      <c r="A491">
        <f t="shared" si="33"/>
        <v>396</v>
      </c>
      <c r="B491">
        <f t="shared" ca="1" si="34"/>
        <v>0.55000000000000004</v>
      </c>
      <c r="C491" s="6">
        <f t="shared" ca="1" si="35"/>
        <v>-63922.043576258453</v>
      </c>
      <c r="F491">
        <f t="shared" si="37"/>
        <v>400</v>
      </c>
      <c r="G491">
        <f t="shared" ca="1" si="36"/>
        <v>0.748</v>
      </c>
    </row>
    <row r="492" spans="1:7">
      <c r="A492">
        <f t="shared" si="33"/>
        <v>397</v>
      </c>
      <c r="B492">
        <f t="shared" ca="1" si="34"/>
        <v>0.62</v>
      </c>
      <c r="C492" s="6">
        <f t="shared" ca="1" si="35"/>
        <v>-63922.043576258453</v>
      </c>
      <c r="F492">
        <f t="shared" si="37"/>
        <v>401</v>
      </c>
      <c r="G492">
        <f t="shared" ca="1" si="36"/>
        <v>0.74299999999999999</v>
      </c>
    </row>
    <row r="493" spans="1:7">
      <c r="A493">
        <f t="shared" si="33"/>
        <v>398</v>
      </c>
      <c r="B493">
        <f t="shared" ca="1" si="34"/>
        <v>0.74</v>
      </c>
      <c r="C493" s="6">
        <f t="shared" ca="1" si="35"/>
        <v>-63922.043576258453</v>
      </c>
      <c r="F493">
        <f t="shared" si="37"/>
        <v>402</v>
      </c>
      <c r="G493">
        <f t="shared" ca="1" si="36"/>
        <v>0.90100000000000002</v>
      </c>
    </row>
    <row r="494" spans="1:7">
      <c r="A494">
        <f t="shared" si="33"/>
        <v>399</v>
      </c>
      <c r="B494">
        <f t="shared" ca="1" si="34"/>
        <v>0.87</v>
      </c>
      <c r="C494" s="6">
        <f t="shared" ca="1" si="35"/>
        <v>-63922.043576258453</v>
      </c>
      <c r="F494">
        <f t="shared" si="37"/>
        <v>403</v>
      </c>
      <c r="G494">
        <f t="shared" ca="1" si="36"/>
        <v>0.754</v>
      </c>
    </row>
    <row r="495" spans="1:7">
      <c r="A495">
        <f t="shared" si="33"/>
        <v>400</v>
      </c>
      <c r="B495">
        <f t="shared" ca="1" si="34"/>
        <v>0.77</v>
      </c>
      <c r="C495" s="6">
        <f t="shared" ca="1" si="35"/>
        <v>-63922.043576258453</v>
      </c>
      <c r="F495">
        <f t="shared" si="37"/>
        <v>404</v>
      </c>
      <c r="G495">
        <f t="shared" ca="1" si="36"/>
        <v>0.68200000000000005</v>
      </c>
    </row>
    <row r="496" spans="1:7">
      <c r="A496">
        <f t="shared" si="33"/>
        <v>401</v>
      </c>
      <c r="B496">
        <f t="shared" ca="1" si="34"/>
        <v>0.95</v>
      </c>
      <c r="C496" s="6">
        <f t="shared" ca="1" si="35"/>
        <v>-63922.043576258453</v>
      </c>
      <c r="F496">
        <f t="shared" si="37"/>
        <v>405</v>
      </c>
      <c r="G496">
        <f t="shared" ca="1" si="36"/>
        <v>0.79200000000000004</v>
      </c>
    </row>
    <row r="497" spans="1:7">
      <c r="A497">
        <f t="shared" si="33"/>
        <v>402</v>
      </c>
      <c r="B497">
        <f t="shared" ca="1" si="34"/>
        <v>0.55000000000000004</v>
      </c>
      <c r="C497" s="6">
        <f t="shared" ca="1" si="35"/>
        <v>-63922.043576258453</v>
      </c>
      <c r="F497">
        <f t="shared" si="37"/>
        <v>406</v>
      </c>
      <c r="G497">
        <f t="shared" ca="1" si="36"/>
        <v>0.61799999999999999</v>
      </c>
    </row>
    <row r="498" spans="1:7">
      <c r="A498">
        <f t="shared" si="33"/>
        <v>403</v>
      </c>
      <c r="B498">
        <f t="shared" ca="1" si="34"/>
        <v>0.56000000000000005</v>
      </c>
      <c r="C498" s="6">
        <f t="shared" ca="1" si="35"/>
        <v>-63922.043576258453</v>
      </c>
      <c r="F498">
        <f t="shared" si="37"/>
        <v>407</v>
      </c>
      <c r="G498">
        <f t="shared" ca="1" si="36"/>
        <v>0.98499999999999999</v>
      </c>
    </row>
    <row r="499" spans="1:7">
      <c r="A499">
        <f t="shared" si="33"/>
        <v>404</v>
      </c>
      <c r="B499">
        <f t="shared" ca="1" si="34"/>
        <v>0.48</v>
      </c>
      <c r="C499" s="6">
        <f t="shared" ca="1" si="35"/>
        <v>-63922.043576258453</v>
      </c>
      <c r="F499">
        <f t="shared" si="37"/>
        <v>408</v>
      </c>
      <c r="G499">
        <f t="shared" ca="1" si="36"/>
        <v>0.47599999999999998</v>
      </c>
    </row>
    <row r="500" spans="1:7">
      <c r="A500">
        <f t="shared" si="33"/>
        <v>405</v>
      </c>
      <c r="B500">
        <f t="shared" ca="1" si="34"/>
        <v>0.81</v>
      </c>
      <c r="C500" s="6">
        <f t="shared" ca="1" si="35"/>
        <v>-63922.043576258453</v>
      </c>
      <c r="F500">
        <f t="shared" si="37"/>
        <v>409</v>
      </c>
      <c r="G500">
        <f t="shared" ca="1" si="36"/>
        <v>0.61499999999999999</v>
      </c>
    </row>
    <row r="501" spans="1:7">
      <c r="A501">
        <f t="shared" si="33"/>
        <v>406</v>
      </c>
      <c r="B501">
        <f t="shared" ca="1" si="34"/>
        <v>0.79</v>
      </c>
      <c r="C501" s="6">
        <f t="shared" ca="1" si="35"/>
        <v>-63922.043576258453</v>
      </c>
      <c r="F501">
        <f t="shared" si="37"/>
        <v>410</v>
      </c>
      <c r="G501">
        <f t="shared" ca="1" si="36"/>
        <v>0.94899999999999995</v>
      </c>
    </row>
    <row r="502" spans="1:7">
      <c r="A502">
        <f t="shared" si="33"/>
        <v>407</v>
      </c>
      <c r="B502">
        <f t="shared" ca="1" si="34"/>
        <v>0.75</v>
      </c>
      <c r="C502" s="6">
        <f t="shared" ca="1" si="35"/>
        <v>-63922.043576258453</v>
      </c>
      <c r="F502">
        <f t="shared" si="37"/>
        <v>411</v>
      </c>
      <c r="G502">
        <f t="shared" ca="1" si="36"/>
        <v>0.89700000000000002</v>
      </c>
    </row>
    <row r="503" spans="1:7">
      <c r="A503">
        <f t="shared" si="33"/>
        <v>408</v>
      </c>
      <c r="B503">
        <f t="shared" ca="1" si="34"/>
        <v>0.63</v>
      </c>
      <c r="C503" s="6">
        <f t="shared" ca="1" si="35"/>
        <v>-63922.043576258453</v>
      </c>
      <c r="F503">
        <f t="shared" si="37"/>
        <v>412</v>
      </c>
      <c r="G503">
        <f t="shared" ca="1" si="36"/>
        <v>0.96099999999999997</v>
      </c>
    </row>
    <row r="504" spans="1:7">
      <c r="A504">
        <f t="shared" si="33"/>
        <v>409</v>
      </c>
      <c r="B504">
        <f t="shared" ca="1" si="34"/>
        <v>0.87</v>
      </c>
      <c r="C504" s="6">
        <f t="shared" ca="1" si="35"/>
        <v>-63922.043576258453</v>
      </c>
      <c r="F504">
        <f t="shared" si="37"/>
        <v>413</v>
      </c>
      <c r="G504">
        <f t="shared" ca="1" si="36"/>
        <v>0.86299999999999999</v>
      </c>
    </row>
    <row r="505" spans="1:7">
      <c r="A505">
        <f t="shared" si="33"/>
        <v>410</v>
      </c>
      <c r="B505">
        <f t="shared" ca="1" si="34"/>
        <v>0.43</v>
      </c>
      <c r="C505" s="6">
        <f t="shared" ca="1" si="35"/>
        <v>-63922.043576258453</v>
      </c>
      <c r="F505">
        <f t="shared" si="37"/>
        <v>414</v>
      </c>
      <c r="G505">
        <f t="shared" ca="1" si="36"/>
        <v>0.95299999999999996</v>
      </c>
    </row>
    <row r="506" spans="1:7">
      <c r="A506">
        <f t="shared" si="33"/>
        <v>411</v>
      </c>
      <c r="B506">
        <f t="shared" ca="1" si="34"/>
        <v>0.65</v>
      </c>
      <c r="C506" s="6">
        <f t="shared" ca="1" si="35"/>
        <v>-63922.043576258453</v>
      </c>
      <c r="F506">
        <f t="shared" si="37"/>
        <v>415</v>
      </c>
      <c r="G506">
        <f t="shared" ca="1" si="36"/>
        <v>0.63800000000000001</v>
      </c>
    </row>
    <row r="507" spans="1:7">
      <c r="A507">
        <f t="shared" si="33"/>
        <v>412</v>
      </c>
      <c r="B507">
        <f t="shared" ca="1" si="34"/>
        <v>0.6</v>
      </c>
      <c r="C507" s="6">
        <f t="shared" ca="1" si="35"/>
        <v>-63922.043576258453</v>
      </c>
      <c r="F507">
        <f t="shared" si="37"/>
        <v>416</v>
      </c>
      <c r="G507">
        <f t="shared" ca="1" si="36"/>
        <v>0.503</v>
      </c>
    </row>
    <row r="508" spans="1:7">
      <c r="A508">
        <f t="shared" si="33"/>
        <v>413</v>
      </c>
      <c r="B508">
        <f t="shared" ca="1" si="34"/>
        <v>0.44</v>
      </c>
      <c r="C508" s="6">
        <f t="shared" ca="1" si="35"/>
        <v>-63922.043576258453</v>
      </c>
      <c r="F508">
        <f t="shared" si="37"/>
        <v>417</v>
      </c>
      <c r="G508">
        <f t="shared" ca="1" si="36"/>
        <v>0.501</v>
      </c>
    </row>
    <row r="509" spans="1:7">
      <c r="A509">
        <f t="shared" si="33"/>
        <v>414</v>
      </c>
      <c r="B509">
        <f t="shared" ca="1" si="34"/>
        <v>0.94</v>
      </c>
      <c r="C509" s="6">
        <f t="shared" ca="1" si="35"/>
        <v>-63922.043576258453</v>
      </c>
      <c r="F509">
        <f t="shared" si="37"/>
        <v>418</v>
      </c>
      <c r="G509">
        <f t="shared" ca="1" si="36"/>
        <v>0.56599999999999995</v>
      </c>
    </row>
    <row r="510" spans="1:7">
      <c r="A510">
        <f t="shared" si="33"/>
        <v>415</v>
      </c>
      <c r="B510">
        <f t="shared" ca="1" si="34"/>
        <v>0.76</v>
      </c>
      <c r="C510" s="6">
        <f t="shared" ca="1" si="35"/>
        <v>-63922.043576258453</v>
      </c>
      <c r="F510">
        <f t="shared" si="37"/>
        <v>419</v>
      </c>
      <c r="G510">
        <f t="shared" ca="1" si="36"/>
        <v>0.998</v>
      </c>
    </row>
    <row r="511" spans="1:7">
      <c r="A511">
        <f t="shared" si="33"/>
        <v>416</v>
      </c>
      <c r="B511">
        <f t="shared" ca="1" si="34"/>
        <v>1</v>
      </c>
      <c r="C511" s="6">
        <f t="shared" ca="1" si="35"/>
        <v>-63922.043576258453</v>
      </c>
      <c r="F511">
        <f t="shared" si="37"/>
        <v>420</v>
      </c>
      <c r="G511">
        <f t="shared" ca="1" si="36"/>
        <v>0.63200000000000001</v>
      </c>
    </row>
    <row r="512" spans="1:7">
      <c r="A512">
        <f t="shared" si="33"/>
        <v>417</v>
      </c>
      <c r="B512">
        <f t="shared" ca="1" si="34"/>
        <v>0.52</v>
      </c>
      <c r="C512" s="6">
        <f t="shared" ca="1" si="35"/>
        <v>-63922.043576258453</v>
      </c>
      <c r="F512">
        <f t="shared" si="37"/>
        <v>421</v>
      </c>
      <c r="G512">
        <f t="shared" ca="1" si="36"/>
        <v>0.42699999999999999</v>
      </c>
    </row>
    <row r="513" spans="1:7">
      <c r="A513">
        <f t="shared" si="33"/>
        <v>418</v>
      </c>
      <c r="B513">
        <f t="shared" ca="1" si="34"/>
        <v>0.65</v>
      </c>
      <c r="C513" s="6">
        <f t="shared" ca="1" si="35"/>
        <v>-63922.043576258453</v>
      </c>
      <c r="F513">
        <f t="shared" si="37"/>
        <v>422</v>
      </c>
      <c r="G513">
        <f t="shared" ca="1" si="36"/>
        <v>0.872</v>
      </c>
    </row>
    <row r="514" spans="1:7">
      <c r="A514">
        <f t="shared" si="33"/>
        <v>419</v>
      </c>
      <c r="B514">
        <f t="shared" ca="1" si="34"/>
        <v>0.83</v>
      </c>
      <c r="C514" s="6">
        <f t="shared" ca="1" si="35"/>
        <v>-63922.043576258453</v>
      </c>
      <c r="F514">
        <f t="shared" si="37"/>
        <v>423</v>
      </c>
      <c r="G514">
        <f t="shared" ca="1" si="36"/>
        <v>0.72499999999999998</v>
      </c>
    </row>
    <row r="515" spans="1:7">
      <c r="A515">
        <f t="shared" si="33"/>
        <v>420</v>
      </c>
      <c r="B515">
        <f t="shared" ca="1" si="34"/>
        <v>0.99</v>
      </c>
      <c r="C515" s="6">
        <f t="shared" ca="1" si="35"/>
        <v>-63922.043576258453</v>
      </c>
      <c r="F515">
        <f t="shared" si="37"/>
        <v>424</v>
      </c>
      <c r="G515">
        <f t="shared" ca="1" si="36"/>
        <v>0.749</v>
      </c>
    </row>
    <row r="516" spans="1:7">
      <c r="A516">
        <f t="shared" si="33"/>
        <v>421</v>
      </c>
      <c r="B516">
        <f t="shared" ca="1" si="34"/>
        <v>0.55000000000000004</v>
      </c>
      <c r="C516" s="6">
        <f t="shared" ca="1" si="35"/>
        <v>-63922.043576258453</v>
      </c>
      <c r="F516">
        <f t="shared" si="37"/>
        <v>425</v>
      </c>
      <c r="G516">
        <f t="shared" ca="1" si="36"/>
        <v>0.78</v>
      </c>
    </row>
    <row r="517" spans="1:7">
      <c r="A517">
        <f t="shared" si="33"/>
        <v>422</v>
      </c>
      <c r="B517">
        <f t="shared" ca="1" si="34"/>
        <v>0.68</v>
      </c>
      <c r="C517" s="6">
        <f t="shared" ca="1" si="35"/>
        <v>-63922.043576258453</v>
      </c>
      <c r="F517">
        <f t="shared" si="37"/>
        <v>426</v>
      </c>
      <c r="G517">
        <f t="shared" ca="1" si="36"/>
        <v>0.83</v>
      </c>
    </row>
    <row r="518" spans="1:7">
      <c r="A518">
        <f t="shared" si="33"/>
        <v>423</v>
      </c>
      <c r="B518">
        <f t="shared" ca="1" si="34"/>
        <v>0.81</v>
      </c>
      <c r="C518" s="6">
        <f t="shared" ca="1" si="35"/>
        <v>-63922.043576258453</v>
      </c>
      <c r="F518">
        <f t="shared" si="37"/>
        <v>427</v>
      </c>
      <c r="G518">
        <f t="shared" ca="1" si="36"/>
        <v>0.52500000000000002</v>
      </c>
    </row>
    <row r="519" spans="1:7">
      <c r="A519">
        <f t="shared" si="33"/>
        <v>424</v>
      </c>
      <c r="B519">
        <f t="shared" ca="1" si="34"/>
        <v>0.45</v>
      </c>
      <c r="C519" s="6">
        <f t="shared" ca="1" si="35"/>
        <v>-63922.043576258453</v>
      </c>
      <c r="F519">
        <f t="shared" si="37"/>
        <v>428</v>
      </c>
      <c r="G519">
        <f t="shared" ca="1" si="36"/>
        <v>0.78600000000000003</v>
      </c>
    </row>
    <row r="520" spans="1:7">
      <c r="A520">
        <f t="shared" si="33"/>
        <v>425</v>
      </c>
      <c r="B520">
        <f t="shared" ca="1" si="34"/>
        <v>0.95</v>
      </c>
      <c r="C520" s="6">
        <f t="shared" ca="1" si="35"/>
        <v>-63922.043576258453</v>
      </c>
      <c r="F520">
        <f t="shared" si="37"/>
        <v>429</v>
      </c>
      <c r="G520">
        <f t="shared" ca="1" si="36"/>
        <v>0.97399999999999998</v>
      </c>
    </row>
    <row r="521" spans="1:7">
      <c r="A521">
        <f t="shared" si="33"/>
        <v>426</v>
      </c>
      <c r="B521">
        <f t="shared" ca="1" si="34"/>
        <v>0.92</v>
      </c>
      <c r="C521" s="6">
        <f t="shared" ca="1" si="35"/>
        <v>-63922.043576258453</v>
      </c>
      <c r="F521">
        <f t="shared" si="37"/>
        <v>430</v>
      </c>
      <c r="G521">
        <f t="shared" ca="1" si="36"/>
        <v>0.86799999999999999</v>
      </c>
    </row>
    <row r="522" spans="1:7">
      <c r="A522">
        <f t="shared" si="33"/>
        <v>427</v>
      </c>
      <c r="B522">
        <f t="shared" ca="1" si="34"/>
        <v>0.98</v>
      </c>
      <c r="C522" s="6">
        <f t="shared" ca="1" si="35"/>
        <v>-63922.043576258453</v>
      </c>
      <c r="F522">
        <f t="shared" si="37"/>
        <v>431</v>
      </c>
      <c r="G522">
        <f t="shared" ca="1" si="36"/>
        <v>0.81899999999999995</v>
      </c>
    </row>
    <row r="523" spans="1:7">
      <c r="A523">
        <f t="shared" si="33"/>
        <v>428</v>
      </c>
      <c r="B523">
        <f t="shared" ca="1" si="34"/>
        <v>0.83</v>
      </c>
      <c r="C523" s="6">
        <f t="shared" ca="1" si="35"/>
        <v>-63922.043576258453</v>
      </c>
      <c r="F523">
        <f t="shared" si="37"/>
        <v>432</v>
      </c>
      <c r="G523">
        <f t="shared" ca="1" si="36"/>
        <v>0.40200000000000002</v>
      </c>
    </row>
    <row r="524" spans="1:7">
      <c r="A524">
        <f t="shared" si="33"/>
        <v>429</v>
      </c>
      <c r="B524">
        <f t="shared" ca="1" si="34"/>
        <v>0.57999999999999996</v>
      </c>
      <c r="C524" s="6">
        <f t="shared" ca="1" si="35"/>
        <v>-63922.043576258453</v>
      </c>
      <c r="F524">
        <f t="shared" si="37"/>
        <v>433</v>
      </c>
      <c r="G524">
        <f t="shared" ca="1" si="36"/>
        <v>0.84199999999999997</v>
      </c>
    </row>
    <row r="525" spans="1:7">
      <c r="A525">
        <f t="shared" si="33"/>
        <v>430</v>
      </c>
      <c r="B525">
        <f t="shared" ca="1" si="34"/>
        <v>0.88</v>
      </c>
      <c r="C525" s="6">
        <f t="shared" ca="1" si="35"/>
        <v>-63922.043576258453</v>
      </c>
      <c r="F525">
        <f t="shared" si="37"/>
        <v>434</v>
      </c>
      <c r="G525">
        <f t="shared" ca="1" si="36"/>
        <v>0.42699999999999999</v>
      </c>
    </row>
    <row r="526" spans="1:7">
      <c r="A526">
        <f t="shared" si="33"/>
        <v>431</v>
      </c>
      <c r="B526">
        <f t="shared" ca="1" si="34"/>
        <v>0.6</v>
      </c>
      <c r="C526" s="6">
        <f t="shared" ca="1" si="35"/>
        <v>-63922.043576258453</v>
      </c>
      <c r="F526">
        <f t="shared" si="37"/>
        <v>435</v>
      </c>
      <c r="G526">
        <f t="shared" ca="1" si="36"/>
        <v>0.435</v>
      </c>
    </row>
    <row r="527" spans="1:7">
      <c r="A527">
        <f t="shared" si="33"/>
        <v>432</v>
      </c>
      <c r="B527">
        <f t="shared" ca="1" si="34"/>
        <v>0.89</v>
      </c>
      <c r="C527" s="6">
        <f t="shared" ca="1" si="35"/>
        <v>-63922.043576258453</v>
      </c>
      <c r="F527">
        <f t="shared" si="37"/>
        <v>436</v>
      </c>
      <c r="G527">
        <f t="shared" ca="1" si="36"/>
        <v>0.89800000000000002</v>
      </c>
    </row>
    <row r="528" spans="1:7">
      <c r="A528">
        <f t="shared" si="33"/>
        <v>433</v>
      </c>
      <c r="B528">
        <f t="shared" ca="1" si="34"/>
        <v>0.89</v>
      </c>
      <c r="C528" s="6">
        <f t="shared" ca="1" si="35"/>
        <v>-63922.043576258453</v>
      </c>
      <c r="F528">
        <f t="shared" si="37"/>
        <v>437</v>
      </c>
      <c r="G528">
        <f t="shared" ca="1" si="36"/>
        <v>0.68300000000000005</v>
      </c>
    </row>
    <row r="529" spans="1:7">
      <c r="A529">
        <f t="shared" si="33"/>
        <v>434</v>
      </c>
      <c r="B529">
        <f t="shared" ca="1" si="34"/>
        <v>0.57999999999999996</v>
      </c>
      <c r="C529" s="6">
        <f t="shared" ca="1" si="35"/>
        <v>-63922.043576258453</v>
      </c>
      <c r="F529">
        <f t="shared" si="37"/>
        <v>438</v>
      </c>
      <c r="G529">
        <f t="shared" ca="1" si="36"/>
        <v>0.98399999999999999</v>
      </c>
    </row>
    <row r="530" spans="1:7">
      <c r="A530">
        <f t="shared" si="33"/>
        <v>435</v>
      </c>
      <c r="B530">
        <f t="shared" ca="1" si="34"/>
        <v>0.74</v>
      </c>
      <c r="C530" s="6">
        <f t="shared" ca="1" si="35"/>
        <v>-63922.043576258453</v>
      </c>
      <c r="F530">
        <f t="shared" si="37"/>
        <v>439</v>
      </c>
      <c r="G530">
        <f t="shared" ca="1" si="36"/>
        <v>0.92800000000000005</v>
      </c>
    </row>
    <row r="531" spans="1:7">
      <c r="A531">
        <f t="shared" si="33"/>
        <v>436</v>
      </c>
      <c r="B531">
        <f t="shared" ca="1" si="34"/>
        <v>0.53</v>
      </c>
      <c r="C531" s="6">
        <f t="shared" ca="1" si="35"/>
        <v>-63922.043576258453</v>
      </c>
      <c r="F531">
        <f t="shared" si="37"/>
        <v>440</v>
      </c>
      <c r="G531">
        <f t="shared" ca="1" si="36"/>
        <v>0.61</v>
      </c>
    </row>
    <row r="532" spans="1:7">
      <c r="A532">
        <f t="shared" si="33"/>
        <v>437</v>
      </c>
      <c r="B532">
        <f t="shared" ca="1" si="34"/>
        <v>0.76</v>
      </c>
      <c r="C532" s="6">
        <f t="shared" ca="1" si="35"/>
        <v>-63922.043576258453</v>
      </c>
      <c r="F532">
        <f t="shared" si="37"/>
        <v>441</v>
      </c>
      <c r="G532">
        <f t="shared" ca="1" si="36"/>
        <v>0.59899999999999998</v>
      </c>
    </row>
    <row r="533" spans="1:7">
      <c r="A533">
        <f t="shared" si="33"/>
        <v>438</v>
      </c>
      <c r="B533">
        <f t="shared" ca="1" si="34"/>
        <v>0.66</v>
      </c>
      <c r="C533" s="6">
        <f t="shared" ca="1" si="35"/>
        <v>-63922.043576258453</v>
      </c>
      <c r="F533">
        <f t="shared" si="37"/>
        <v>442</v>
      </c>
      <c r="G533">
        <f t="shared" ca="1" si="36"/>
        <v>0.70199999999999996</v>
      </c>
    </row>
    <row r="534" spans="1:7">
      <c r="A534">
        <f t="shared" si="33"/>
        <v>439</v>
      </c>
      <c r="B534">
        <f t="shared" ca="1" si="34"/>
        <v>0.91</v>
      </c>
      <c r="C534" s="6">
        <f t="shared" ca="1" si="35"/>
        <v>-63922.043576258453</v>
      </c>
      <c r="F534">
        <f t="shared" si="37"/>
        <v>443</v>
      </c>
      <c r="G534">
        <f t="shared" ca="1" si="36"/>
        <v>0.88500000000000001</v>
      </c>
    </row>
    <row r="535" spans="1:7">
      <c r="A535">
        <f t="shared" si="33"/>
        <v>440</v>
      </c>
      <c r="B535">
        <f t="shared" ca="1" si="34"/>
        <v>0.49</v>
      </c>
      <c r="C535" s="6">
        <f t="shared" ca="1" si="35"/>
        <v>-63922.043576258453</v>
      </c>
      <c r="F535">
        <f t="shared" si="37"/>
        <v>444</v>
      </c>
      <c r="G535">
        <f t="shared" ca="1" si="36"/>
        <v>0.48699999999999999</v>
      </c>
    </row>
    <row r="536" spans="1:7">
      <c r="A536">
        <f t="shared" si="33"/>
        <v>441</v>
      </c>
      <c r="B536">
        <f t="shared" ca="1" si="34"/>
        <v>0.91</v>
      </c>
      <c r="C536" s="6">
        <f t="shared" ca="1" si="35"/>
        <v>-63922.043576258453</v>
      </c>
      <c r="F536">
        <f t="shared" si="37"/>
        <v>445</v>
      </c>
      <c r="G536">
        <f t="shared" ca="1" si="36"/>
        <v>0.65400000000000003</v>
      </c>
    </row>
    <row r="537" spans="1:7">
      <c r="A537">
        <f t="shared" si="33"/>
        <v>442</v>
      </c>
      <c r="B537">
        <f t="shared" ca="1" si="34"/>
        <v>0.54</v>
      </c>
      <c r="C537" s="6">
        <f t="shared" ca="1" si="35"/>
        <v>-63922.043576258453</v>
      </c>
      <c r="F537">
        <f t="shared" si="37"/>
        <v>446</v>
      </c>
      <c r="G537">
        <f t="shared" ca="1" si="36"/>
        <v>0.72199999999999998</v>
      </c>
    </row>
    <row r="538" spans="1:7">
      <c r="A538">
        <f t="shared" si="33"/>
        <v>443</v>
      </c>
      <c r="B538">
        <f t="shared" ca="1" si="34"/>
        <v>0.6</v>
      </c>
      <c r="C538" s="6">
        <f t="shared" ca="1" si="35"/>
        <v>-63922.043576258453</v>
      </c>
      <c r="F538">
        <f t="shared" si="37"/>
        <v>447</v>
      </c>
      <c r="G538">
        <f t="shared" ca="1" si="36"/>
        <v>0.751</v>
      </c>
    </row>
    <row r="539" spans="1:7">
      <c r="A539">
        <f t="shared" ref="A539:A602" si="38">ROW()-95</f>
        <v>444</v>
      </c>
      <c r="B539">
        <f t="shared" ref="B539:B602" ca="1" si="39">RANDBETWEEN(40,100)/100</f>
        <v>0.87</v>
      </c>
      <c r="C539" s="6">
        <f t="shared" ref="C539:C602" ca="1" si="40">$B$71 + 0*B539</f>
        <v>-63922.043576258453</v>
      </c>
      <c r="F539">
        <f t="shared" si="37"/>
        <v>448</v>
      </c>
      <c r="G539">
        <f t="shared" ca="1" si="36"/>
        <v>0.497</v>
      </c>
    </row>
    <row r="540" spans="1:7">
      <c r="A540">
        <f t="shared" si="38"/>
        <v>445</v>
      </c>
      <c r="B540">
        <f t="shared" ca="1" si="39"/>
        <v>0.78</v>
      </c>
      <c r="C540" s="6">
        <f t="shared" ca="1" si="40"/>
        <v>-63922.043576258453</v>
      </c>
      <c r="F540">
        <f t="shared" si="37"/>
        <v>449</v>
      </c>
      <c r="G540">
        <f t="shared" ca="1" si="36"/>
        <v>0.51300000000000001</v>
      </c>
    </row>
    <row r="541" spans="1:7">
      <c r="A541">
        <f t="shared" si="38"/>
        <v>446</v>
      </c>
      <c r="B541">
        <f t="shared" ca="1" si="39"/>
        <v>0.6</v>
      </c>
      <c r="C541" s="6">
        <f t="shared" ca="1" si="40"/>
        <v>-63922.043576258453</v>
      </c>
      <c r="F541">
        <f t="shared" si="37"/>
        <v>450</v>
      </c>
      <c r="G541">
        <f t="shared" ref="G541:G604" ca="1" si="41">ROUND(RAND()*(1-0.4)+0.4,3)</f>
        <v>0.74399999999999999</v>
      </c>
    </row>
    <row r="542" spans="1:7">
      <c r="A542">
        <f t="shared" si="38"/>
        <v>447</v>
      </c>
      <c r="B542">
        <f t="shared" ca="1" si="39"/>
        <v>0.63</v>
      </c>
      <c r="C542" s="6">
        <f t="shared" ca="1" si="40"/>
        <v>-63922.043576258453</v>
      </c>
      <c r="F542">
        <f t="shared" ref="F542:F605" si="42">F541+1</f>
        <v>451</v>
      </c>
      <c r="G542">
        <f t="shared" ca="1" si="41"/>
        <v>0.99199999999999999</v>
      </c>
    </row>
    <row r="543" spans="1:7">
      <c r="A543">
        <f t="shared" si="38"/>
        <v>448</v>
      </c>
      <c r="B543">
        <f t="shared" ca="1" si="39"/>
        <v>0.85</v>
      </c>
      <c r="C543" s="6">
        <f t="shared" ca="1" si="40"/>
        <v>-63922.043576258453</v>
      </c>
      <c r="F543">
        <f t="shared" si="42"/>
        <v>452</v>
      </c>
      <c r="G543">
        <f t="shared" ca="1" si="41"/>
        <v>0.61899999999999999</v>
      </c>
    </row>
    <row r="544" spans="1:7">
      <c r="A544">
        <f t="shared" si="38"/>
        <v>449</v>
      </c>
      <c r="B544">
        <f t="shared" ca="1" si="39"/>
        <v>0.76</v>
      </c>
      <c r="C544" s="6">
        <f t="shared" ca="1" si="40"/>
        <v>-63922.043576258453</v>
      </c>
      <c r="F544">
        <f t="shared" si="42"/>
        <v>453</v>
      </c>
      <c r="G544">
        <f t="shared" ca="1" si="41"/>
        <v>0.60199999999999998</v>
      </c>
    </row>
    <row r="545" spans="1:7">
      <c r="A545">
        <f t="shared" si="38"/>
        <v>450</v>
      </c>
      <c r="B545">
        <f t="shared" ca="1" si="39"/>
        <v>0.42</v>
      </c>
      <c r="C545" s="6">
        <f t="shared" ca="1" si="40"/>
        <v>-63922.043576258453</v>
      </c>
      <c r="F545">
        <f t="shared" si="42"/>
        <v>454</v>
      </c>
      <c r="G545">
        <f t="shared" ca="1" si="41"/>
        <v>0.997</v>
      </c>
    </row>
    <row r="546" spans="1:7">
      <c r="A546">
        <f t="shared" si="38"/>
        <v>451</v>
      </c>
      <c r="B546">
        <f t="shared" ca="1" si="39"/>
        <v>0.45</v>
      </c>
      <c r="C546" s="6">
        <f t="shared" ca="1" si="40"/>
        <v>-63922.043576258453</v>
      </c>
      <c r="F546">
        <f t="shared" si="42"/>
        <v>455</v>
      </c>
      <c r="G546">
        <f t="shared" ca="1" si="41"/>
        <v>0.64500000000000002</v>
      </c>
    </row>
    <row r="547" spans="1:7">
      <c r="A547">
        <f t="shared" si="38"/>
        <v>452</v>
      </c>
      <c r="B547">
        <f t="shared" ca="1" si="39"/>
        <v>0.87</v>
      </c>
      <c r="C547" s="6">
        <f t="shared" ca="1" si="40"/>
        <v>-63922.043576258453</v>
      </c>
      <c r="F547">
        <f t="shared" si="42"/>
        <v>456</v>
      </c>
      <c r="G547">
        <f t="shared" ca="1" si="41"/>
        <v>0.88900000000000001</v>
      </c>
    </row>
    <row r="548" spans="1:7">
      <c r="A548">
        <f t="shared" si="38"/>
        <v>453</v>
      </c>
      <c r="B548">
        <f t="shared" ca="1" si="39"/>
        <v>0.46</v>
      </c>
      <c r="C548" s="6">
        <f t="shared" ca="1" si="40"/>
        <v>-63922.043576258453</v>
      </c>
      <c r="F548">
        <f t="shared" si="42"/>
        <v>457</v>
      </c>
      <c r="G548">
        <f t="shared" ca="1" si="41"/>
        <v>0.70099999999999996</v>
      </c>
    </row>
    <row r="549" spans="1:7">
      <c r="A549">
        <f t="shared" si="38"/>
        <v>454</v>
      </c>
      <c r="B549">
        <f t="shared" ca="1" si="39"/>
        <v>0.43</v>
      </c>
      <c r="C549" s="6">
        <f t="shared" ca="1" si="40"/>
        <v>-63922.043576258453</v>
      </c>
      <c r="F549">
        <f t="shared" si="42"/>
        <v>458</v>
      </c>
      <c r="G549">
        <f t="shared" ca="1" si="41"/>
        <v>0.93100000000000005</v>
      </c>
    </row>
    <row r="550" spans="1:7">
      <c r="A550">
        <f t="shared" si="38"/>
        <v>455</v>
      </c>
      <c r="B550">
        <f t="shared" ca="1" si="39"/>
        <v>0.9</v>
      </c>
      <c r="C550" s="6">
        <f t="shared" ca="1" si="40"/>
        <v>-63922.043576258453</v>
      </c>
      <c r="F550">
        <f t="shared" si="42"/>
        <v>459</v>
      </c>
      <c r="G550">
        <f t="shared" ca="1" si="41"/>
        <v>0.91800000000000004</v>
      </c>
    </row>
    <row r="551" spans="1:7">
      <c r="A551">
        <f t="shared" si="38"/>
        <v>456</v>
      </c>
      <c r="B551">
        <f t="shared" ca="1" si="39"/>
        <v>0.55000000000000004</v>
      </c>
      <c r="C551" s="6">
        <f t="shared" ca="1" si="40"/>
        <v>-63922.043576258453</v>
      </c>
      <c r="F551">
        <f t="shared" si="42"/>
        <v>460</v>
      </c>
      <c r="G551">
        <f t="shared" ca="1" si="41"/>
        <v>0.67700000000000005</v>
      </c>
    </row>
    <row r="552" spans="1:7">
      <c r="A552">
        <f t="shared" si="38"/>
        <v>457</v>
      </c>
      <c r="B552">
        <f t="shared" ca="1" si="39"/>
        <v>0.84</v>
      </c>
      <c r="C552" s="6">
        <f t="shared" ca="1" si="40"/>
        <v>-63922.043576258453</v>
      </c>
      <c r="F552">
        <f t="shared" si="42"/>
        <v>461</v>
      </c>
      <c r="G552">
        <f t="shared" ca="1" si="41"/>
        <v>0.76</v>
      </c>
    </row>
    <row r="553" spans="1:7">
      <c r="A553">
        <f t="shared" si="38"/>
        <v>458</v>
      </c>
      <c r="B553">
        <f t="shared" ca="1" si="39"/>
        <v>0.6</v>
      </c>
      <c r="C553" s="6">
        <f t="shared" ca="1" si="40"/>
        <v>-63922.043576258453</v>
      </c>
      <c r="F553">
        <f t="shared" si="42"/>
        <v>462</v>
      </c>
      <c r="G553">
        <f t="shared" ca="1" si="41"/>
        <v>0.61599999999999999</v>
      </c>
    </row>
    <row r="554" spans="1:7">
      <c r="A554">
        <f t="shared" si="38"/>
        <v>459</v>
      </c>
      <c r="B554">
        <f t="shared" ca="1" si="39"/>
        <v>0.57999999999999996</v>
      </c>
      <c r="C554" s="6">
        <f t="shared" ca="1" si="40"/>
        <v>-63922.043576258453</v>
      </c>
      <c r="F554">
        <f t="shared" si="42"/>
        <v>463</v>
      </c>
      <c r="G554">
        <f t="shared" ca="1" si="41"/>
        <v>0.79300000000000004</v>
      </c>
    </row>
    <row r="555" spans="1:7">
      <c r="A555">
        <f t="shared" si="38"/>
        <v>460</v>
      </c>
      <c r="B555">
        <f t="shared" ca="1" si="39"/>
        <v>0.88</v>
      </c>
      <c r="C555" s="6">
        <f t="shared" ca="1" si="40"/>
        <v>-63922.043576258453</v>
      </c>
      <c r="F555">
        <f t="shared" si="42"/>
        <v>464</v>
      </c>
      <c r="G555">
        <f t="shared" ca="1" si="41"/>
        <v>0.92100000000000004</v>
      </c>
    </row>
    <row r="556" spans="1:7">
      <c r="A556">
        <f t="shared" si="38"/>
        <v>461</v>
      </c>
      <c r="B556">
        <f t="shared" ca="1" si="39"/>
        <v>0.64</v>
      </c>
      <c r="C556" s="6">
        <f t="shared" ca="1" si="40"/>
        <v>-63922.043576258453</v>
      </c>
      <c r="F556">
        <f t="shared" si="42"/>
        <v>465</v>
      </c>
      <c r="G556">
        <f t="shared" ca="1" si="41"/>
        <v>0.76700000000000002</v>
      </c>
    </row>
    <row r="557" spans="1:7">
      <c r="A557">
        <f t="shared" si="38"/>
        <v>462</v>
      </c>
      <c r="B557">
        <f t="shared" ca="1" si="39"/>
        <v>0.75</v>
      </c>
      <c r="C557" s="6">
        <f t="shared" ca="1" si="40"/>
        <v>-63922.043576258453</v>
      </c>
      <c r="F557">
        <f t="shared" si="42"/>
        <v>466</v>
      </c>
      <c r="G557">
        <f t="shared" ca="1" si="41"/>
        <v>0.88800000000000001</v>
      </c>
    </row>
    <row r="558" spans="1:7">
      <c r="A558">
        <f t="shared" si="38"/>
        <v>463</v>
      </c>
      <c r="B558">
        <f t="shared" ca="1" si="39"/>
        <v>0.87</v>
      </c>
      <c r="C558" s="6">
        <f t="shared" ca="1" si="40"/>
        <v>-63922.043576258453</v>
      </c>
      <c r="F558">
        <f t="shared" si="42"/>
        <v>467</v>
      </c>
      <c r="G558">
        <f t="shared" ca="1" si="41"/>
        <v>0.70199999999999996</v>
      </c>
    </row>
    <row r="559" spans="1:7">
      <c r="A559">
        <f t="shared" si="38"/>
        <v>464</v>
      </c>
      <c r="B559">
        <f t="shared" ca="1" si="39"/>
        <v>0.91</v>
      </c>
      <c r="C559" s="6">
        <f t="shared" ca="1" si="40"/>
        <v>-63922.043576258453</v>
      </c>
      <c r="F559">
        <f t="shared" si="42"/>
        <v>468</v>
      </c>
      <c r="G559">
        <f t="shared" ca="1" si="41"/>
        <v>0.55800000000000005</v>
      </c>
    </row>
    <row r="560" spans="1:7">
      <c r="A560">
        <f t="shared" si="38"/>
        <v>465</v>
      </c>
      <c r="B560">
        <f t="shared" ca="1" si="39"/>
        <v>0.89</v>
      </c>
      <c r="C560" s="6">
        <f t="shared" ca="1" si="40"/>
        <v>-63922.043576258453</v>
      </c>
      <c r="F560">
        <f t="shared" si="42"/>
        <v>469</v>
      </c>
      <c r="G560">
        <f t="shared" ca="1" si="41"/>
        <v>0.47199999999999998</v>
      </c>
    </row>
    <row r="561" spans="1:7">
      <c r="A561">
        <f t="shared" si="38"/>
        <v>466</v>
      </c>
      <c r="B561">
        <f t="shared" ca="1" si="39"/>
        <v>0.99</v>
      </c>
      <c r="C561" s="6">
        <f t="shared" ca="1" si="40"/>
        <v>-63922.043576258453</v>
      </c>
      <c r="F561">
        <f t="shared" si="42"/>
        <v>470</v>
      </c>
      <c r="G561">
        <f t="shared" ca="1" si="41"/>
        <v>0.66900000000000004</v>
      </c>
    </row>
    <row r="562" spans="1:7">
      <c r="A562">
        <f t="shared" si="38"/>
        <v>467</v>
      </c>
      <c r="B562">
        <f t="shared" ca="1" si="39"/>
        <v>0.98</v>
      </c>
      <c r="C562" s="6">
        <f t="shared" ca="1" si="40"/>
        <v>-63922.043576258453</v>
      </c>
      <c r="F562">
        <f t="shared" si="42"/>
        <v>471</v>
      </c>
      <c r="G562">
        <f t="shared" ca="1" si="41"/>
        <v>0.95399999999999996</v>
      </c>
    </row>
    <row r="563" spans="1:7">
      <c r="A563">
        <f t="shared" si="38"/>
        <v>468</v>
      </c>
      <c r="B563">
        <f t="shared" ca="1" si="39"/>
        <v>0.48</v>
      </c>
      <c r="C563" s="6">
        <f t="shared" ca="1" si="40"/>
        <v>-63922.043576258453</v>
      </c>
      <c r="F563">
        <f t="shared" si="42"/>
        <v>472</v>
      </c>
      <c r="G563">
        <f t="shared" ca="1" si="41"/>
        <v>0.46600000000000003</v>
      </c>
    </row>
    <row r="564" spans="1:7">
      <c r="A564">
        <f t="shared" si="38"/>
        <v>469</v>
      </c>
      <c r="B564">
        <f t="shared" ca="1" si="39"/>
        <v>0.52</v>
      </c>
      <c r="C564" s="6">
        <f t="shared" ca="1" si="40"/>
        <v>-63922.043576258453</v>
      </c>
      <c r="F564">
        <f t="shared" si="42"/>
        <v>473</v>
      </c>
      <c r="G564">
        <f t="shared" ca="1" si="41"/>
        <v>0.57999999999999996</v>
      </c>
    </row>
    <row r="565" spans="1:7">
      <c r="A565">
        <f t="shared" si="38"/>
        <v>470</v>
      </c>
      <c r="B565">
        <f t="shared" ca="1" si="39"/>
        <v>0.91</v>
      </c>
      <c r="C565" s="6">
        <f t="shared" ca="1" si="40"/>
        <v>-63922.043576258453</v>
      </c>
      <c r="F565">
        <f t="shared" si="42"/>
        <v>474</v>
      </c>
      <c r="G565">
        <f t="shared" ca="1" si="41"/>
        <v>0.65500000000000003</v>
      </c>
    </row>
    <row r="566" spans="1:7">
      <c r="A566">
        <f t="shared" si="38"/>
        <v>471</v>
      </c>
      <c r="B566">
        <f t="shared" ca="1" si="39"/>
        <v>0.82</v>
      </c>
      <c r="C566" s="6">
        <f t="shared" ca="1" si="40"/>
        <v>-63922.043576258453</v>
      </c>
      <c r="F566">
        <f t="shared" si="42"/>
        <v>475</v>
      </c>
      <c r="G566">
        <f t="shared" ca="1" si="41"/>
        <v>0.80800000000000005</v>
      </c>
    </row>
    <row r="567" spans="1:7">
      <c r="A567">
        <f t="shared" si="38"/>
        <v>472</v>
      </c>
      <c r="B567">
        <f t="shared" ca="1" si="39"/>
        <v>0.49</v>
      </c>
      <c r="C567" s="6">
        <f t="shared" ca="1" si="40"/>
        <v>-63922.043576258453</v>
      </c>
      <c r="F567">
        <f t="shared" si="42"/>
        <v>476</v>
      </c>
      <c r="G567">
        <f t="shared" ca="1" si="41"/>
        <v>0.78600000000000003</v>
      </c>
    </row>
    <row r="568" spans="1:7">
      <c r="A568">
        <f t="shared" si="38"/>
        <v>473</v>
      </c>
      <c r="B568">
        <f t="shared" ca="1" si="39"/>
        <v>0.95</v>
      </c>
      <c r="C568" s="6">
        <f t="shared" ca="1" si="40"/>
        <v>-63922.043576258453</v>
      </c>
      <c r="F568">
        <f t="shared" si="42"/>
        <v>477</v>
      </c>
      <c r="G568">
        <f t="shared" ca="1" si="41"/>
        <v>0.63600000000000001</v>
      </c>
    </row>
    <row r="569" spans="1:7">
      <c r="A569">
        <f t="shared" si="38"/>
        <v>474</v>
      </c>
      <c r="B569">
        <f t="shared" ca="1" si="39"/>
        <v>0.87</v>
      </c>
      <c r="C569" s="6">
        <f t="shared" ca="1" si="40"/>
        <v>-63922.043576258453</v>
      </c>
      <c r="F569">
        <f t="shared" si="42"/>
        <v>478</v>
      </c>
      <c r="G569">
        <f t="shared" ca="1" si="41"/>
        <v>0.77600000000000002</v>
      </c>
    </row>
    <row r="570" spans="1:7">
      <c r="A570">
        <f t="shared" si="38"/>
        <v>475</v>
      </c>
      <c r="B570">
        <f t="shared" ca="1" si="39"/>
        <v>0.82</v>
      </c>
      <c r="C570" s="6">
        <f t="shared" ca="1" si="40"/>
        <v>-63922.043576258453</v>
      </c>
      <c r="F570">
        <f t="shared" si="42"/>
        <v>479</v>
      </c>
      <c r="G570">
        <f t="shared" ca="1" si="41"/>
        <v>0.86199999999999999</v>
      </c>
    </row>
    <row r="571" spans="1:7">
      <c r="A571">
        <f t="shared" si="38"/>
        <v>476</v>
      </c>
      <c r="B571">
        <f t="shared" ca="1" si="39"/>
        <v>0.45</v>
      </c>
      <c r="C571" s="6">
        <f t="shared" ca="1" si="40"/>
        <v>-63922.043576258453</v>
      </c>
      <c r="F571">
        <f t="shared" si="42"/>
        <v>480</v>
      </c>
      <c r="G571">
        <f t="shared" ca="1" si="41"/>
        <v>0.63200000000000001</v>
      </c>
    </row>
    <row r="572" spans="1:7">
      <c r="A572">
        <f t="shared" si="38"/>
        <v>477</v>
      </c>
      <c r="B572">
        <f t="shared" ca="1" si="39"/>
        <v>0.64</v>
      </c>
      <c r="C572" s="6">
        <f t="shared" ca="1" si="40"/>
        <v>-63922.043576258453</v>
      </c>
      <c r="F572">
        <f t="shared" si="42"/>
        <v>481</v>
      </c>
      <c r="G572">
        <f t="shared" ca="1" si="41"/>
        <v>0.83699999999999997</v>
      </c>
    </row>
    <row r="573" spans="1:7">
      <c r="A573">
        <f t="shared" si="38"/>
        <v>478</v>
      </c>
      <c r="B573">
        <f t="shared" ca="1" si="39"/>
        <v>0.97</v>
      </c>
      <c r="C573" s="6">
        <f t="shared" ca="1" si="40"/>
        <v>-63922.043576258453</v>
      </c>
      <c r="F573">
        <f t="shared" si="42"/>
        <v>482</v>
      </c>
      <c r="G573">
        <f t="shared" ca="1" si="41"/>
        <v>0.42099999999999999</v>
      </c>
    </row>
    <row r="574" spans="1:7">
      <c r="A574">
        <f t="shared" si="38"/>
        <v>479</v>
      </c>
      <c r="B574">
        <f t="shared" ca="1" si="39"/>
        <v>0.63</v>
      </c>
      <c r="C574" s="6">
        <f t="shared" ca="1" si="40"/>
        <v>-63922.043576258453</v>
      </c>
      <c r="F574">
        <f t="shared" si="42"/>
        <v>483</v>
      </c>
      <c r="G574">
        <f t="shared" ca="1" si="41"/>
        <v>0.49399999999999999</v>
      </c>
    </row>
    <row r="575" spans="1:7">
      <c r="A575">
        <f t="shared" si="38"/>
        <v>480</v>
      </c>
      <c r="B575">
        <f t="shared" ca="1" si="39"/>
        <v>0.76</v>
      </c>
      <c r="C575" s="6">
        <f t="shared" ca="1" si="40"/>
        <v>-63922.043576258453</v>
      </c>
      <c r="F575">
        <f t="shared" si="42"/>
        <v>484</v>
      </c>
      <c r="G575">
        <f t="shared" ca="1" si="41"/>
        <v>0.47699999999999998</v>
      </c>
    </row>
    <row r="576" spans="1:7">
      <c r="A576">
        <f t="shared" si="38"/>
        <v>481</v>
      </c>
      <c r="B576">
        <f t="shared" ca="1" si="39"/>
        <v>0.57999999999999996</v>
      </c>
      <c r="C576" s="6">
        <f t="shared" ca="1" si="40"/>
        <v>-63922.043576258453</v>
      </c>
      <c r="F576">
        <f t="shared" si="42"/>
        <v>485</v>
      </c>
      <c r="G576">
        <f t="shared" ca="1" si="41"/>
        <v>0.74399999999999999</v>
      </c>
    </row>
    <row r="577" spans="1:7">
      <c r="A577">
        <f t="shared" si="38"/>
        <v>482</v>
      </c>
      <c r="B577">
        <f t="shared" ca="1" si="39"/>
        <v>0.78</v>
      </c>
      <c r="C577" s="6">
        <f t="shared" ca="1" si="40"/>
        <v>-63922.043576258453</v>
      </c>
      <c r="F577">
        <f t="shared" si="42"/>
        <v>486</v>
      </c>
      <c r="G577">
        <f t="shared" ca="1" si="41"/>
        <v>0.64800000000000002</v>
      </c>
    </row>
    <row r="578" spans="1:7">
      <c r="A578">
        <f t="shared" si="38"/>
        <v>483</v>
      </c>
      <c r="B578">
        <f t="shared" ca="1" si="39"/>
        <v>0.62</v>
      </c>
      <c r="C578" s="6">
        <f t="shared" ca="1" si="40"/>
        <v>-63922.043576258453</v>
      </c>
      <c r="F578">
        <f t="shared" si="42"/>
        <v>487</v>
      </c>
      <c r="G578">
        <f t="shared" ca="1" si="41"/>
        <v>0.54900000000000004</v>
      </c>
    </row>
    <row r="579" spans="1:7">
      <c r="A579">
        <f t="shared" si="38"/>
        <v>484</v>
      </c>
      <c r="B579">
        <f t="shared" ca="1" si="39"/>
        <v>0.51</v>
      </c>
      <c r="C579" s="6">
        <f t="shared" ca="1" si="40"/>
        <v>-63922.043576258453</v>
      </c>
      <c r="F579">
        <f t="shared" si="42"/>
        <v>488</v>
      </c>
      <c r="G579">
        <f t="shared" ca="1" si="41"/>
        <v>0.68899999999999995</v>
      </c>
    </row>
    <row r="580" spans="1:7">
      <c r="A580">
        <f t="shared" si="38"/>
        <v>485</v>
      </c>
      <c r="B580">
        <f t="shared" ca="1" si="39"/>
        <v>1</v>
      </c>
      <c r="C580" s="6">
        <f t="shared" ca="1" si="40"/>
        <v>-63922.043576258453</v>
      </c>
      <c r="F580">
        <f t="shared" si="42"/>
        <v>489</v>
      </c>
      <c r="G580">
        <f t="shared" ca="1" si="41"/>
        <v>0.72899999999999998</v>
      </c>
    </row>
    <row r="581" spans="1:7">
      <c r="A581">
        <f t="shared" si="38"/>
        <v>486</v>
      </c>
      <c r="B581">
        <f t="shared" ca="1" si="39"/>
        <v>0.74</v>
      </c>
      <c r="C581" s="6">
        <f t="shared" ca="1" si="40"/>
        <v>-63922.043576258453</v>
      </c>
      <c r="F581">
        <f t="shared" si="42"/>
        <v>490</v>
      </c>
      <c r="G581">
        <f t="shared" ca="1" si="41"/>
        <v>0.61299999999999999</v>
      </c>
    </row>
    <row r="582" spans="1:7">
      <c r="A582">
        <f t="shared" si="38"/>
        <v>487</v>
      </c>
      <c r="B582">
        <f t="shared" ca="1" si="39"/>
        <v>0.53</v>
      </c>
      <c r="C582" s="6">
        <f t="shared" ca="1" si="40"/>
        <v>-63922.043576258453</v>
      </c>
      <c r="F582">
        <f t="shared" si="42"/>
        <v>491</v>
      </c>
      <c r="G582">
        <f t="shared" ca="1" si="41"/>
        <v>0.93</v>
      </c>
    </row>
    <row r="583" spans="1:7">
      <c r="A583">
        <f t="shared" si="38"/>
        <v>488</v>
      </c>
      <c r="B583">
        <f t="shared" ca="1" si="39"/>
        <v>0.95</v>
      </c>
      <c r="C583" s="6">
        <f t="shared" ca="1" si="40"/>
        <v>-63922.043576258453</v>
      </c>
      <c r="F583">
        <f t="shared" si="42"/>
        <v>492</v>
      </c>
      <c r="G583">
        <f t="shared" ca="1" si="41"/>
        <v>0.96199999999999997</v>
      </c>
    </row>
    <row r="584" spans="1:7">
      <c r="A584">
        <f t="shared" si="38"/>
        <v>489</v>
      </c>
      <c r="B584">
        <f t="shared" ca="1" si="39"/>
        <v>0.81</v>
      </c>
      <c r="C584" s="6">
        <f t="shared" ca="1" si="40"/>
        <v>-63922.043576258453</v>
      </c>
      <c r="F584">
        <f t="shared" si="42"/>
        <v>493</v>
      </c>
      <c r="G584">
        <f t="shared" ca="1" si="41"/>
        <v>0.53900000000000003</v>
      </c>
    </row>
    <row r="585" spans="1:7">
      <c r="A585">
        <f t="shared" si="38"/>
        <v>490</v>
      </c>
      <c r="B585">
        <f t="shared" ca="1" si="39"/>
        <v>0.48</v>
      </c>
      <c r="C585" s="6">
        <f t="shared" ca="1" si="40"/>
        <v>-63922.043576258453</v>
      </c>
      <c r="F585">
        <f t="shared" si="42"/>
        <v>494</v>
      </c>
      <c r="G585">
        <f t="shared" ca="1" si="41"/>
        <v>0.48599999999999999</v>
      </c>
    </row>
    <row r="586" spans="1:7">
      <c r="A586">
        <f t="shared" si="38"/>
        <v>491</v>
      </c>
      <c r="B586">
        <f t="shared" ca="1" si="39"/>
        <v>0.42</v>
      </c>
      <c r="C586" s="6">
        <f t="shared" ca="1" si="40"/>
        <v>-63922.043576258453</v>
      </c>
      <c r="F586">
        <f t="shared" si="42"/>
        <v>495</v>
      </c>
      <c r="G586">
        <f t="shared" ca="1" si="41"/>
        <v>0.70299999999999996</v>
      </c>
    </row>
    <row r="587" spans="1:7">
      <c r="A587">
        <f t="shared" si="38"/>
        <v>492</v>
      </c>
      <c r="B587">
        <f t="shared" ca="1" si="39"/>
        <v>0.51</v>
      </c>
      <c r="C587" s="6">
        <f t="shared" ca="1" si="40"/>
        <v>-63922.043576258453</v>
      </c>
      <c r="F587">
        <f t="shared" si="42"/>
        <v>496</v>
      </c>
      <c r="G587">
        <f t="shared" ca="1" si="41"/>
        <v>0.745</v>
      </c>
    </row>
    <row r="588" spans="1:7">
      <c r="A588">
        <f t="shared" si="38"/>
        <v>493</v>
      </c>
      <c r="B588">
        <f t="shared" ca="1" si="39"/>
        <v>0.7</v>
      </c>
      <c r="C588" s="6">
        <f t="shared" ca="1" si="40"/>
        <v>-63922.043576258453</v>
      </c>
      <c r="F588">
        <f t="shared" si="42"/>
        <v>497</v>
      </c>
      <c r="G588">
        <f t="shared" ca="1" si="41"/>
        <v>0.91700000000000004</v>
      </c>
    </row>
    <row r="589" spans="1:7">
      <c r="A589">
        <f t="shared" si="38"/>
        <v>494</v>
      </c>
      <c r="B589">
        <f t="shared" ca="1" si="39"/>
        <v>0.75</v>
      </c>
      <c r="C589" s="6">
        <f t="shared" ca="1" si="40"/>
        <v>-63922.043576258453</v>
      </c>
      <c r="F589">
        <f t="shared" si="42"/>
        <v>498</v>
      </c>
      <c r="G589">
        <f t="shared" ca="1" si="41"/>
        <v>0.63100000000000001</v>
      </c>
    </row>
    <row r="590" spans="1:7">
      <c r="A590">
        <f t="shared" si="38"/>
        <v>495</v>
      </c>
      <c r="B590">
        <f t="shared" ca="1" si="39"/>
        <v>0.85</v>
      </c>
      <c r="C590" s="6">
        <f t="shared" ca="1" si="40"/>
        <v>-63922.043576258453</v>
      </c>
      <c r="F590">
        <f t="shared" si="42"/>
        <v>499</v>
      </c>
      <c r="G590">
        <f t="shared" ca="1" si="41"/>
        <v>0.65900000000000003</v>
      </c>
    </row>
    <row r="591" spans="1:7">
      <c r="A591">
        <f t="shared" si="38"/>
        <v>496</v>
      </c>
      <c r="B591">
        <f t="shared" ca="1" si="39"/>
        <v>0.54</v>
      </c>
      <c r="C591" s="6">
        <f t="shared" ca="1" si="40"/>
        <v>-63922.043576258453</v>
      </c>
      <c r="F591">
        <f t="shared" si="42"/>
        <v>500</v>
      </c>
      <c r="G591">
        <f t="shared" ca="1" si="41"/>
        <v>0.98299999999999998</v>
      </c>
    </row>
    <row r="592" spans="1:7">
      <c r="A592">
        <f t="shared" si="38"/>
        <v>497</v>
      </c>
      <c r="B592">
        <f t="shared" ca="1" si="39"/>
        <v>0.73</v>
      </c>
      <c r="C592" s="6">
        <f t="shared" ca="1" si="40"/>
        <v>-63922.043576258453</v>
      </c>
      <c r="F592">
        <f t="shared" si="42"/>
        <v>501</v>
      </c>
      <c r="G592">
        <f t="shared" ca="1" si="41"/>
        <v>0.48399999999999999</v>
      </c>
    </row>
    <row r="593" spans="1:7">
      <c r="A593">
        <f t="shared" si="38"/>
        <v>498</v>
      </c>
      <c r="B593">
        <f t="shared" ca="1" si="39"/>
        <v>0.76</v>
      </c>
      <c r="C593" s="6">
        <f t="shared" ca="1" si="40"/>
        <v>-63922.043576258453</v>
      </c>
      <c r="F593">
        <f t="shared" si="42"/>
        <v>502</v>
      </c>
      <c r="G593">
        <f t="shared" ca="1" si="41"/>
        <v>0.97499999999999998</v>
      </c>
    </row>
    <row r="594" spans="1:7">
      <c r="A594">
        <f t="shared" si="38"/>
        <v>499</v>
      </c>
      <c r="B594">
        <f t="shared" ca="1" si="39"/>
        <v>0.78</v>
      </c>
      <c r="C594" s="6">
        <f t="shared" ca="1" si="40"/>
        <v>-63922.043576258453</v>
      </c>
      <c r="F594">
        <f t="shared" si="42"/>
        <v>503</v>
      </c>
      <c r="G594">
        <f t="shared" ca="1" si="41"/>
        <v>0.51300000000000001</v>
      </c>
    </row>
    <row r="595" spans="1:7">
      <c r="A595">
        <f t="shared" si="38"/>
        <v>500</v>
      </c>
      <c r="B595">
        <f t="shared" ca="1" si="39"/>
        <v>0.92</v>
      </c>
      <c r="C595" s="6">
        <f t="shared" ca="1" si="40"/>
        <v>-63922.043576258453</v>
      </c>
      <c r="F595">
        <f t="shared" si="42"/>
        <v>504</v>
      </c>
      <c r="G595">
        <f t="shared" ca="1" si="41"/>
        <v>0.58399999999999996</v>
      </c>
    </row>
    <row r="596" spans="1:7">
      <c r="A596">
        <f t="shared" si="38"/>
        <v>501</v>
      </c>
      <c r="B596">
        <f t="shared" ca="1" si="39"/>
        <v>0.85</v>
      </c>
      <c r="C596" s="6">
        <f t="shared" ca="1" si="40"/>
        <v>-63922.043576258453</v>
      </c>
      <c r="F596">
        <f t="shared" si="42"/>
        <v>505</v>
      </c>
      <c r="G596">
        <f t="shared" ca="1" si="41"/>
        <v>0.98799999999999999</v>
      </c>
    </row>
    <row r="597" spans="1:7">
      <c r="A597">
        <f t="shared" si="38"/>
        <v>502</v>
      </c>
      <c r="B597">
        <f t="shared" ca="1" si="39"/>
        <v>1</v>
      </c>
      <c r="C597" s="6">
        <f t="shared" ca="1" si="40"/>
        <v>-63922.043576258453</v>
      </c>
      <c r="F597">
        <f t="shared" si="42"/>
        <v>506</v>
      </c>
      <c r="G597">
        <f t="shared" ca="1" si="41"/>
        <v>0.434</v>
      </c>
    </row>
    <row r="598" spans="1:7">
      <c r="A598">
        <f t="shared" si="38"/>
        <v>503</v>
      </c>
      <c r="B598">
        <f t="shared" ca="1" si="39"/>
        <v>0.62</v>
      </c>
      <c r="C598" s="6">
        <f t="shared" ca="1" si="40"/>
        <v>-63922.043576258453</v>
      </c>
      <c r="F598">
        <f t="shared" si="42"/>
        <v>507</v>
      </c>
      <c r="G598">
        <f t="shared" ca="1" si="41"/>
        <v>0.998</v>
      </c>
    </row>
    <row r="599" spans="1:7">
      <c r="A599">
        <f t="shared" si="38"/>
        <v>504</v>
      </c>
      <c r="B599">
        <f t="shared" ca="1" si="39"/>
        <v>0.65</v>
      </c>
      <c r="C599" s="6">
        <f t="shared" ca="1" si="40"/>
        <v>-63922.043576258453</v>
      </c>
      <c r="F599">
        <f t="shared" si="42"/>
        <v>508</v>
      </c>
      <c r="G599">
        <f t="shared" ca="1" si="41"/>
        <v>0.499</v>
      </c>
    </row>
    <row r="600" spans="1:7">
      <c r="A600">
        <f t="shared" si="38"/>
        <v>505</v>
      </c>
      <c r="B600">
        <f t="shared" ca="1" si="39"/>
        <v>0.4</v>
      </c>
      <c r="C600" s="6">
        <f t="shared" ca="1" si="40"/>
        <v>-63922.043576258453</v>
      </c>
      <c r="F600">
        <f t="shared" si="42"/>
        <v>509</v>
      </c>
      <c r="G600">
        <f t="shared" ca="1" si="41"/>
        <v>0.63700000000000001</v>
      </c>
    </row>
    <row r="601" spans="1:7">
      <c r="A601">
        <f t="shared" si="38"/>
        <v>506</v>
      </c>
      <c r="B601">
        <f t="shared" ca="1" si="39"/>
        <v>0.67</v>
      </c>
      <c r="C601" s="6">
        <f t="shared" ca="1" si="40"/>
        <v>-63922.043576258453</v>
      </c>
      <c r="F601">
        <f t="shared" si="42"/>
        <v>510</v>
      </c>
      <c r="G601">
        <f t="shared" ca="1" si="41"/>
        <v>0.66600000000000004</v>
      </c>
    </row>
    <row r="602" spans="1:7">
      <c r="A602">
        <f t="shared" si="38"/>
        <v>507</v>
      </c>
      <c r="B602">
        <f t="shared" ca="1" si="39"/>
        <v>0.83</v>
      </c>
      <c r="C602" s="6">
        <f t="shared" ca="1" si="40"/>
        <v>-63922.043576258453</v>
      </c>
      <c r="F602">
        <f t="shared" si="42"/>
        <v>511</v>
      </c>
      <c r="G602">
        <f t="shared" ca="1" si="41"/>
        <v>0.68700000000000006</v>
      </c>
    </row>
    <row r="603" spans="1:7">
      <c r="A603">
        <f t="shared" ref="A603:A666" si="43">ROW()-95</f>
        <v>508</v>
      </c>
      <c r="B603">
        <f t="shared" ref="B603:B666" ca="1" si="44">RANDBETWEEN(40,100)/100</f>
        <v>0.44</v>
      </c>
      <c r="C603" s="6">
        <f t="shared" ref="C603:C666" ca="1" si="45">$B$71 + 0*B603</f>
        <v>-63922.043576258453</v>
      </c>
      <c r="F603">
        <f t="shared" si="42"/>
        <v>512</v>
      </c>
      <c r="G603">
        <f t="shared" ca="1" si="41"/>
        <v>0.65</v>
      </c>
    </row>
    <row r="604" spans="1:7">
      <c r="A604">
        <f t="shared" si="43"/>
        <v>509</v>
      </c>
      <c r="B604">
        <f t="shared" ca="1" si="44"/>
        <v>0.99</v>
      </c>
      <c r="C604" s="6">
        <f t="shared" ca="1" si="45"/>
        <v>-63922.043576258453</v>
      </c>
      <c r="F604">
        <f t="shared" si="42"/>
        <v>513</v>
      </c>
      <c r="G604">
        <f t="shared" ca="1" si="41"/>
        <v>0.68899999999999995</v>
      </c>
    </row>
    <row r="605" spans="1:7">
      <c r="A605">
        <f t="shared" si="43"/>
        <v>510</v>
      </c>
      <c r="B605">
        <f t="shared" ca="1" si="44"/>
        <v>0.48</v>
      </c>
      <c r="C605" s="6">
        <f t="shared" ca="1" si="45"/>
        <v>-63922.043576258453</v>
      </c>
      <c r="F605">
        <f t="shared" si="42"/>
        <v>514</v>
      </c>
      <c r="G605">
        <f t="shared" ref="G605:G668" ca="1" si="46">ROUND(RAND()*(1-0.4)+0.4,3)</f>
        <v>0.72</v>
      </c>
    </row>
    <row r="606" spans="1:7">
      <c r="A606">
        <f t="shared" si="43"/>
        <v>511</v>
      </c>
      <c r="B606">
        <f t="shared" ca="1" si="44"/>
        <v>0.7</v>
      </c>
      <c r="C606" s="6">
        <f t="shared" ca="1" si="45"/>
        <v>-63922.043576258453</v>
      </c>
      <c r="F606">
        <f t="shared" ref="F606:F669" si="47">F605+1</f>
        <v>515</v>
      </c>
      <c r="G606">
        <f t="shared" ca="1" si="46"/>
        <v>0.82499999999999996</v>
      </c>
    </row>
    <row r="607" spans="1:7">
      <c r="A607">
        <f t="shared" si="43"/>
        <v>512</v>
      </c>
      <c r="B607">
        <f t="shared" ca="1" si="44"/>
        <v>0.51</v>
      </c>
      <c r="C607" s="6">
        <f t="shared" ca="1" si="45"/>
        <v>-63922.043576258453</v>
      </c>
      <c r="F607">
        <f t="shared" si="47"/>
        <v>516</v>
      </c>
      <c r="G607">
        <f t="shared" ca="1" si="46"/>
        <v>0.83799999999999997</v>
      </c>
    </row>
    <row r="608" spans="1:7">
      <c r="A608">
        <f t="shared" si="43"/>
        <v>513</v>
      </c>
      <c r="B608">
        <f t="shared" ca="1" si="44"/>
        <v>0.61</v>
      </c>
      <c r="C608" s="6">
        <f t="shared" ca="1" si="45"/>
        <v>-63922.043576258453</v>
      </c>
      <c r="F608">
        <f t="shared" si="47"/>
        <v>517</v>
      </c>
      <c r="G608">
        <f t="shared" ca="1" si="46"/>
        <v>0.40200000000000002</v>
      </c>
    </row>
    <row r="609" spans="1:7">
      <c r="A609">
        <f t="shared" si="43"/>
        <v>514</v>
      </c>
      <c r="B609">
        <f t="shared" ca="1" si="44"/>
        <v>0.4</v>
      </c>
      <c r="C609" s="6">
        <f t="shared" ca="1" si="45"/>
        <v>-63922.043576258453</v>
      </c>
      <c r="F609">
        <f t="shared" si="47"/>
        <v>518</v>
      </c>
      <c r="G609">
        <f t="shared" ca="1" si="46"/>
        <v>0.996</v>
      </c>
    </row>
    <row r="610" spans="1:7">
      <c r="A610">
        <f t="shared" si="43"/>
        <v>515</v>
      </c>
      <c r="B610">
        <f t="shared" ca="1" si="44"/>
        <v>0.72</v>
      </c>
      <c r="C610" s="6">
        <f t="shared" ca="1" si="45"/>
        <v>-63922.043576258453</v>
      </c>
      <c r="F610">
        <f t="shared" si="47"/>
        <v>519</v>
      </c>
      <c r="G610">
        <f t="shared" ca="1" si="46"/>
        <v>0.95599999999999996</v>
      </c>
    </row>
    <row r="611" spans="1:7">
      <c r="A611">
        <f t="shared" si="43"/>
        <v>516</v>
      </c>
      <c r="B611">
        <f t="shared" ca="1" si="44"/>
        <v>0.71</v>
      </c>
      <c r="C611" s="6">
        <f t="shared" ca="1" si="45"/>
        <v>-63922.043576258453</v>
      </c>
      <c r="F611">
        <f t="shared" si="47"/>
        <v>520</v>
      </c>
      <c r="G611">
        <f t="shared" ca="1" si="46"/>
        <v>0.51200000000000001</v>
      </c>
    </row>
    <row r="612" spans="1:7">
      <c r="A612">
        <f t="shared" si="43"/>
        <v>517</v>
      </c>
      <c r="B612">
        <f t="shared" ca="1" si="44"/>
        <v>0.92</v>
      </c>
      <c r="C612" s="6">
        <f t="shared" ca="1" si="45"/>
        <v>-63922.043576258453</v>
      </c>
      <c r="F612">
        <f t="shared" si="47"/>
        <v>521</v>
      </c>
      <c r="G612">
        <f t="shared" ca="1" si="46"/>
        <v>0.73</v>
      </c>
    </row>
    <row r="613" spans="1:7">
      <c r="A613">
        <f t="shared" si="43"/>
        <v>518</v>
      </c>
      <c r="B613">
        <f t="shared" ca="1" si="44"/>
        <v>0.46</v>
      </c>
      <c r="C613" s="6">
        <f t="shared" ca="1" si="45"/>
        <v>-63922.043576258453</v>
      </c>
      <c r="F613">
        <f t="shared" si="47"/>
        <v>522</v>
      </c>
      <c r="G613">
        <f t="shared" ca="1" si="46"/>
        <v>0.66900000000000004</v>
      </c>
    </row>
    <row r="614" spans="1:7">
      <c r="A614">
        <f t="shared" si="43"/>
        <v>519</v>
      </c>
      <c r="B614">
        <f t="shared" ca="1" si="44"/>
        <v>0.56000000000000005</v>
      </c>
      <c r="C614" s="6">
        <f t="shared" ca="1" si="45"/>
        <v>-63922.043576258453</v>
      </c>
      <c r="F614">
        <f t="shared" si="47"/>
        <v>523</v>
      </c>
      <c r="G614">
        <f t="shared" ca="1" si="46"/>
        <v>0.88500000000000001</v>
      </c>
    </row>
    <row r="615" spans="1:7">
      <c r="A615">
        <f t="shared" si="43"/>
        <v>520</v>
      </c>
      <c r="B615">
        <f t="shared" ca="1" si="44"/>
        <v>0.74</v>
      </c>
      <c r="C615" s="6">
        <f t="shared" ca="1" si="45"/>
        <v>-63922.043576258453</v>
      </c>
      <c r="F615">
        <f t="shared" si="47"/>
        <v>524</v>
      </c>
      <c r="G615">
        <f t="shared" ca="1" si="46"/>
        <v>0.59799999999999998</v>
      </c>
    </row>
    <row r="616" spans="1:7">
      <c r="A616">
        <f t="shared" si="43"/>
        <v>521</v>
      </c>
      <c r="B616">
        <f t="shared" ca="1" si="44"/>
        <v>0.83</v>
      </c>
      <c r="C616" s="6">
        <f t="shared" ca="1" si="45"/>
        <v>-63922.043576258453</v>
      </c>
      <c r="F616">
        <f t="shared" si="47"/>
        <v>525</v>
      </c>
      <c r="G616">
        <f t="shared" ca="1" si="46"/>
        <v>0.47699999999999998</v>
      </c>
    </row>
    <row r="617" spans="1:7">
      <c r="A617">
        <f t="shared" si="43"/>
        <v>522</v>
      </c>
      <c r="B617">
        <f t="shared" ca="1" si="44"/>
        <v>0.41</v>
      </c>
      <c r="C617" s="6">
        <f t="shared" ca="1" si="45"/>
        <v>-63922.043576258453</v>
      </c>
      <c r="F617">
        <f t="shared" si="47"/>
        <v>526</v>
      </c>
      <c r="G617">
        <f t="shared" ca="1" si="46"/>
        <v>0.42099999999999999</v>
      </c>
    </row>
    <row r="618" spans="1:7">
      <c r="A618">
        <f t="shared" si="43"/>
        <v>523</v>
      </c>
      <c r="B618">
        <f t="shared" ca="1" si="44"/>
        <v>0.81</v>
      </c>
      <c r="C618" s="6">
        <f t="shared" ca="1" si="45"/>
        <v>-63922.043576258453</v>
      </c>
      <c r="F618">
        <f t="shared" si="47"/>
        <v>527</v>
      </c>
      <c r="G618">
        <f t="shared" ca="1" si="46"/>
        <v>0.50800000000000001</v>
      </c>
    </row>
    <row r="619" spans="1:7">
      <c r="A619">
        <f t="shared" si="43"/>
        <v>524</v>
      </c>
      <c r="B619">
        <f t="shared" ca="1" si="44"/>
        <v>0.56000000000000005</v>
      </c>
      <c r="C619" s="6">
        <f t="shared" ca="1" si="45"/>
        <v>-63922.043576258453</v>
      </c>
      <c r="F619">
        <f t="shared" si="47"/>
        <v>528</v>
      </c>
      <c r="G619">
        <f t="shared" ca="1" si="46"/>
        <v>0.88100000000000001</v>
      </c>
    </row>
    <row r="620" spans="1:7">
      <c r="A620">
        <f t="shared" si="43"/>
        <v>525</v>
      </c>
      <c r="B620">
        <f t="shared" ca="1" si="44"/>
        <v>0.65</v>
      </c>
      <c r="C620" s="6">
        <f t="shared" ca="1" si="45"/>
        <v>-63922.043576258453</v>
      </c>
      <c r="F620">
        <f t="shared" si="47"/>
        <v>529</v>
      </c>
      <c r="G620">
        <f t="shared" ca="1" si="46"/>
        <v>0.65200000000000002</v>
      </c>
    </row>
    <row r="621" spans="1:7">
      <c r="A621">
        <f t="shared" si="43"/>
        <v>526</v>
      </c>
      <c r="B621">
        <f t="shared" ca="1" si="44"/>
        <v>0.48</v>
      </c>
      <c r="C621" s="6">
        <f t="shared" ca="1" si="45"/>
        <v>-63922.043576258453</v>
      </c>
      <c r="F621">
        <f t="shared" si="47"/>
        <v>530</v>
      </c>
      <c r="G621">
        <f t="shared" ca="1" si="46"/>
        <v>0.85099999999999998</v>
      </c>
    </row>
    <row r="622" spans="1:7">
      <c r="A622">
        <f t="shared" si="43"/>
        <v>527</v>
      </c>
      <c r="B622">
        <f t="shared" ca="1" si="44"/>
        <v>0.9</v>
      </c>
      <c r="C622" s="6">
        <f t="shared" ca="1" si="45"/>
        <v>-63922.043576258453</v>
      </c>
      <c r="F622">
        <f t="shared" si="47"/>
        <v>531</v>
      </c>
      <c r="G622">
        <f t="shared" ca="1" si="46"/>
        <v>0.53300000000000003</v>
      </c>
    </row>
    <row r="623" spans="1:7">
      <c r="A623">
        <f t="shared" si="43"/>
        <v>528</v>
      </c>
      <c r="B623">
        <f t="shared" ca="1" si="44"/>
        <v>0.88</v>
      </c>
      <c r="C623" s="6">
        <f t="shared" ca="1" si="45"/>
        <v>-63922.043576258453</v>
      </c>
      <c r="F623">
        <f t="shared" si="47"/>
        <v>532</v>
      </c>
      <c r="G623">
        <f t="shared" ca="1" si="46"/>
        <v>0.55400000000000005</v>
      </c>
    </row>
    <row r="624" spans="1:7">
      <c r="A624">
        <f t="shared" si="43"/>
        <v>529</v>
      </c>
      <c r="B624">
        <f t="shared" ca="1" si="44"/>
        <v>0.96</v>
      </c>
      <c r="C624" s="6">
        <f t="shared" ca="1" si="45"/>
        <v>-63922.043576258453</v>
      </c>
      <c r="F624">
        <f t="shared" si="47"/>
        <v>533</v>
      </c>
      <c r="G624">
        <f t="shared" ca="1" si="46"/>
        <v>0.49199999999999999</v>
      </c>
    </row>
    <row r="625" spans="1:7">
      <c r="A625">
        <f t="shared" si="43"/>
        <v>530</v>
      </c>
      <c r="B625">
        <f t="shared" ca="1" si="44"/>
        <v>0.91</v>
      </c>
      <c r="C625" s="6">
        <f t="shared" ca="1" si="45"/>
        <v>-63922.043576258453</v>
      </c>
      <c r="F625">
        <f t="shared" si="47"/>
        <v>534</v>
      </c>
      <c r="G625">
        <f t="shared" ca="1" si="46"/>
        <v>0.57799999999999996</v>
      </c>
    </row>
    <row r="626" spans="1:7">
      <c r="A626">
        <f t="shared" si="43"/>
        <v>531</v>
      </c>
      <c r="B626">
        <f t="shared" ca="1" si="44"/>
        <v>0.53</v>
      </c>
      <c r="C626" s="6">
        <f t="shared" ca="1" si="45"/>
        <v>-63922.043576258453</v>
      </c>
      <c r="F626">
        <f t="shared" si="47"/>
        <v>535</v>
      </c>
      <c r="G626">
        <f t="shared" ca="1" si="46"/>
        <v>0.55800000000000005</v>
      </c>
    </row>
    <row r="627" spans="1:7">
      <c r="A627">
        <f t="shared" si="43"/>
        <v>532</v>
      </c>
      <c r="B627">
        <f t="shared" ca="1" si="44"/>
        <v>0.6</v>
      </c>
      <c r="C627" s="6">
        <f t="shared" ca="1" si="45"/>
        <v>-63922.043576258453</v>
      </c>
      <c r="F627">
        <f t="shared" si="47"/>
        <v>536</v>
      </c>
      <c r="G627">
        <f t="shared" ca="1" si="46"/>
        <v>0.81599999999999995</v>
      </c>
    </row>
    <row r="628" spans="1:7">
      <c r="A628">
        <f t="shared" si="43"/>
        <v>533</v>
      </c>
      <c r="B628">
        <f t="shared" ca="1" si="44"/>
        <v>0.48</v>
      </c>
      <c r="C628" s="6">
        <f t="shared" ca="1" si="45"/>
        <v>-63922.043576258453</v>
      </c>
      <c r="F628">
        <f t="shared" si="47"/>
        <v>537</v>
      </c>
      <c r="G628">
        <f t="shared" ca="1" si="46"/>
        <v>0.55900000000000005</v>
      </c>
    </row>
    <row r="629" spans="1:7">
      <c r="A629">
        <f t="shared" si="43"/>
        <v>534</v>
      </c>
      <c r="B629">
        <f t="shared" ca="1" si="44"/>
        <v>0.93</v>
      </c>
      <c r="C629" s="6">
        <f t="shared" ca="1" si="45"/>
        <v>-63922.043576258453</v>
      </c>
      <c r="F629">
        <f t="shared" si="47"/>
        <v>538</v>
      </c>
      <c r="G629">
        <f t="shared" ca="1" si="46"/>
        <v>0.73699999999999999</v>
      </c>
    </row>
    <row r="630" spans="1:7">
      <c r="A630">
        <f t="shared" si="43"/>
        <v>535</v>
      </c>
      <c r="B630">
        <f t="shared" ca="1" si="44"/>
        <v>0.45</v>
      </c>
      <c r="C630" s="6">
        <f t="shared" ca="1" si="45"/>
        <v>-63922.043576258453</v>
      </c>
      <c r="F630">
        <f t="shared" si="47"/>
        <v>539</v>
      </c>
      <c r="G630">
        <f t="shared" ca="1" si="46"/>
        <v>0.58899999999999997</v>
      </c>
    </row>
    <row r="631" spans="1:7">
      <c r="A631">
        <f t="shared" si="43"/>
        <v>536</v>
      </c>
      <c r="B631">
        <f t="shared" ca="1" si="44"/>
        <v>0.66</v>
      </c>
      <c r="C631" s="6">
        <f t="shared" ca="1" si="45"/>
        <v>-63922.043576258453</v>
      </c>
      <c r="F631">
        <f t="shared" si="47"/>
        <v>540</v>
      </c>
      <c r="G631">
        <f t="shared" ca="1" si="46"/>
        <v>0.495</v>
      </c>
    </row>
    <row r="632" spans="1:7">
      <c r="A632">
        <f t="shared" si="43"/>
        <v>537</v>
      </c>
      <c r="B632">
        <f t="shared" ca="1" si="44"/>
        <v>0.41</v>
      </c>
      <c r="C632" s="6">
        <f t="shared" ca="1" si="45"/>
        <v>-63922.043576258453</v>
      </c>
      <c r="F632">
        <f t="shared" si="47"/>
        <v>541</v>
      </c>
      <c r="G632">
        <f t="shared" ca="1" si="46"/>
        <v>0.90200000000000002</v>
      </c>
    </row>
    <row r="633" spans="1:7">
      <c r="A633">
        <f t="shared" si="43"/>
        <v>538</v>
      </c>
      <c r="B633">
        <f t="shared" ca="1" si="44"/>
        <v>0.51</v>
      </c>
      <c r="C633" s="6">
        <f t="shared" ca="1" si="45"/>
        <v>-63922.043576258453</v>
      </c>
      <c r="F633">
        <f t="shared" si="47"/>
        <v>542</v>
      </c>
      <c r="G633">
        <f t="shared" ca="1" si="46"/>
        <v>0.92200000000000004</v>
      </c>
    </row>
    <row r="634" spans="1:7">
      <c r="A634">
        <f t="shared" si="43"/>
        <v>539</v>
      </c>
      <c r="B634">
        <f t="shared" ca="1" si="44"/>
        <v>0.9</v>
      </c>
      <c r="C634" s="6">
        <f t="shared" ca="1" si="45"/>
        <v>-63922.043576258453</v>
      </c>
      <c r="F634">
        <f t="shared" si="47"/>
        <v>543</v>
      </c>
      <c r="G634">
        <f t="shared" ca="1" si="46"/>
        <v>0.84099999999999997</v>
      </c>
    </row>
    <row r="635" spans="1:7">
      <c r="A635">
        <f t="shared" si="43"/>
        <v>540</v>
      </c>
      <c r="B635">
        <f t="shared" ca="1" si="44"/>
        <v>0.64</v>
      </c>
      <c r="C635" s="6">
        <f t="shared" ca="1" si="45"/>
        <v>-63922.043576258453</v>
      </c>
      <c r="F635">
        <f t="shared" si="47"/>
        <v>544</v>
      </c>
      <c r="G635">
        <f t="shared" ca="1" si="46"/>
        <v>0.82799999999999996</v>
      </c>
    </row>
    <row r="636" spans="1:7">
      <c r="A636">
        <f t="shared" si="43"/>
        <v>541</v>
      </c>
      <c r="B636">
        <f t="shared" ca="1" si="44"/>
        <v>0.64</v>
      </c>
      <c r="C636" s="6">
        <f t="shared" ca="1" si="45"/>
        <v>-63922.043576258453</v>
      </c>
      <c r="F636">
        <f t="shared" si="47"/>
        <v>545</v>
      </c>
      <c r="G636">
        <f t="shared" ca="1" si="46"/>
        <v>0.81399999999999995</v>
      </c>
    </row>
    <row r="637" spans="1:7">
      <c r="A637">
        <f t="shared" si="43"/>
        <v>542</v>
      </c>
      <c r="B637">
        <f t="shared" ca="1" si="44"/>
        <v>0.8</v>
      </c>
      <c r="C637" s="6">
        <f t="shared" ca="1" si="45"/>
        <v>-63922.043576258453</v>
      </c>
      <c r="F637">
        <f t="shared" si="47"/>
        <v>546</v>
      </c>
      <c r="G637">
        <f t="shared" ca="1" si="46"/>
        <v>0.83299999999999996</v>
      </c>
    </row>
    <row r="638" spans="1:7">
      <c r="A638">
        <f t="shared" si="43"/>
        <v>543</v>
      </c>
      <c r="B638">
        <f t="shared" ca="1" si="44"/>
        <v>0.92</v>
      </c>
      <c r="C638" s="6">
        <f t="shared" ca="1" si="45"/>
        <v>-63922.043576258453</v>
      </c>
      <c r="F638">
        <f t="shared" si="47"/>
        <v>547</v>
      </c>
      <c r="G638">
        <f t="shared" ca="1" si="46"/>
        <v>0.72899999999999998</v>
      </c>
    </row>
    <row r="639" spans="1:7">
      <c r="A639">
        <f t="shared" si="43"/>
        <v>544</v>
      </c>
      <c r="B639">
        <f t="shared" ca="1" si="44"/>
        <v>0.95</v>
      </c>
      <c r="C639" s="6">
        <f t="shared" ca="1" si="45"/>
        <v>-63922.043576258453</v>
      </c>
      <c r="F639">
        <f t="shared" si="47"/>
        <v>548</v>
      </c>
      <c r="G639">
        <f t="shared" ca="1" si="46"/>
        <v>0.44600000000000001</v>
      </c>
    </row>
    <row r="640" spans="1:7">
      <c r="A640">
        <f t="shared" si="43"/>
        <v>545</v>
      </c>
      <c r="B640">
        <f t="shared" ca="1" si="44"/>
        <v>0.4</v>
      </c>
      <c r="C640" s="6">
        <f t="shared" ca="1" si="45"/>
        <v>-63922.043576258453</v>
      </c>
      <c r="F640">
        <f t="shared" si="47"/>
        <v>549</v>
      </c>
      <c r="G640">
        <f t="shared" ca="1" si="46"/>
        <v>0.88500000000000001</v>
      </c>
    </row>
    <row r="641" spans="1:7">
      <c r="A641">
        <f t="shared" si="43"/>
        <v>546</v>
      </c>
      <c r="B641">
        <f t="shared" ca="1" si="44"/>
        <v>0.74</v>
      </c>
      <c r="C641" s="6">
        <f t="shared" ca="1" si="45"/>
        <v>-63922.043576258453</v>
      </c>
      <c r="F641">
        <f t="shared" si="47"/>
        <v>550</v>
      </c>
      <c r="G641">
        <f t="shared" ca="1" si="46"/>
        <v>0.44900000000000001</v>
      </c>
    </row>
    <row r="642" spans="1:7">
      <c r="A642">
        <f t="shared" si="43"/>
        <v>547</v>
      </c>
      <c r="B642">
        <f t="shared" ca="1" si="44"/>
        <v>0.67</v>
      </c>
      <c r="C642" s="6">
        <f t="shared" ca="1" si="45"/>
        <v>-63922.043576258453</v>
      </c>
      <c r="F642">
        <f t="shared" si="47"/>
        <v>551</v>
      </c>
      <c r="G642">
        <f t="shared" ca="1" si="46"/>
        <v>0.57199999999999995</v>
      </c>
    </row>
    <row r="643" spans="1:7">
      <c r="A643">
        <f t="shared" si="43"/>
        <v>548</v>
      </c>
      <c r="B643">
        <f t="shared" ca="1" si="44"/>
        <v>0.62</v>
      </c>
      <c r="C643" s="6">
        <f t="shared" ca="1" si="45"/>
        <v>-63922.043576258453</v>
      </c>
      <c r="F643">
        <f t="shared" si="47"/>
        <v>552</v>
      </c>
      <c r="G643">
        <f t="shared" ca="1" si="46"/>
        <v>0.94899999999999995</v>
      </c>
    </row>
    <row r="644" spans="1:7">
      <c r="A644">
        <f t="shared" si="43"/>
        <v>549</v>
      </c>
      <c r="B644">
        <f t="shared" ca="1" si="44"/>
        <v>0.77</v>
      </c>
      <c r="C644" s="6">
        <f t="shared" ca="1" si="45"/>
        <v>-63922.043576258453</v>
      </c>
      <c r="F644">
        <f t="shared" si="47"/>
        <v>553</v>
      </c>
      <c r="G644">
        <f t="shared" ca="1" si="46"/>
        <v>0.871</v>
      </c>
    </row>
    <row r="645" spans="1:7">
      <c r="A645">
        <f t="shared" si="43"/>
        <v>550</v>
      </c>
      <c r="B645">
        <f t="shared" ca="1" si="44"/>
        <v>0.56999999999999995</v>
      </c>
      <c r="C645" s="6">
        <f t="shared" ca="1" si="45"/>
        <v>-63922.043576258453</v>
      </c>
      <c r="F645">
        <f t="shared" si="47"/>
        <v>554</v>
      </c>
      <c r="G645">
        <f t="shared" ca="1" si="46"/>
        <v>0.97199999999999998</v>
      </c>
    </row>
    <row r="646" spans="1:7">
      <c r="A646">
        <f t="shared" si="43"/>
        <v>551</v>
      </c>
      <c r="B646">
        <f t="shared" ca="1" si="44"/>
        <v>0.69</v>
      </c>
      <c r="C646" s="6">
        <f t="shared" ca="1" si="45"/>
        <v>-63922.043576258453</v>
      </c>
      <c r="F646">
        <f t="shared" si="47"/>
        <v>555</v>
      </c>
      <c r="G646">
        <f t="shared" ca="1" si="46"/>
        <v>0.40699999999999997</v>
      </c>
    </row>
    <row r="647" spans="1:7">
      <c r="A647">
        <f t="shared" si="43"/>
        <v>552</v>
      </c>
      <c r="B647">
        <f t="shared" ca="1" si="44"/>
        <v>0.7</v>
      </c>
      <c r="C647" s="6">
        <f t="shared" ca="1" si="45"/>
        <v>-63922.043576258453</v>
      </c>
      <c r="F647">
        <f t="shared" si="47"/>
        <v>556</v>
      </c>
      <c r="G647">
        <f t="shared" ca="1" si="46"/>
        <v>0.46899999999999997</v>
      </c>
    </row>
    <row r="648" spans="1:7">
      <c r="A648">
        <f t="shared" si="43"/>
        <v>553</v>
      </c>
      <c r="B648">
        <f t="shared" ca="1" si="44"/>
        <v>0.93</v>
      </c>
      <c r="C648" s="6">
        <f t="shared" ca="1" si="45"/>
        <v>-63922.043576258453</v>
      </c>
      <c r="F648">
        <f t="shared" si="47"/>
        <v>557</v>
      </c>
      <c r="G648">
        <f t="shared" ca="1" si="46"/>
        <v>0.83699999999999997</v>
      </c>
    </row>
    <row r="649" spans="1:7">
      <c r="A649">
        <f t="shared" si="43"/>
        <v>554</v>
      </c>
      <c r="B649">
        <f t="shared" ca="1" si="44"/>
        <v>0.8</v>
      </c>
      <c r="C649" s="6">
        <f t="shared" ca="1" si="45"/>
        <v>-63922.043576258453</v>
      </c>
      <c r="F649">
        <f t="shared" si="47"/>
        <v>558</v>
      </c>
      <c r="G649">
        <f t="shared" ca="1" si="46"/>
        <v>0.624</v>
      </c>
    </row>
    <row r="650" spans="1:7">
      <c r="A650">
        <f t="shared" si="43"/>
        <v>555</v>
      </c>
      <c r="B650">
        <f t="shared" ca="1" si="44"/>
        <v>0.87</v>
      </c>
      <c r="C650" s="6">
        <f t="shared" ca="1" si="45"/>
        <v>-63922.043576258453</v>
      </c>
      <c r="F650">
        <f t="shared" si="47"/>
        <v>559</v>
      </c>
      <c r="G650">
        <f t="shared" ca="1" si="46"/>
        <v>0.69399999999999995</v>
      </c>
    </row>
    <row r="651" spans="1:7">
      <c r="A651">
        <f t="shared" si="43"/>
        <v>556</v>
      </c>
      <c r="B651">
        <f t="shared" ca="1" si="44"/>
        <v>0.69</v>
      </c>
      <c r="C651" s="6">
        <f t="shared" ca="1" si="45"/>
        <v>-63922.043576258453</v>
      </c>
      <c r="F651">
        <f t="shared" si="47"/>
        <v>560</v>
      </c>
      <c r="G651">
        <f t="shared" ca="1" si="46"/>
        <v>0.91200000000000003</v>
      </c>
    </row>
    <row r="652" spans="1:7">
      <c r="A652">
        <f t="shared" si="43"/>
        <v>557</v>
      </c>
      <c r="B652">
        <f t="shared" ca="1" si="44"/>
        <v>0.97</v>
      </c>
      <c r="C652" s="6">
        <f t="shared" ca="1" si="45"/>
        <v>-63922.043576258453</v>
      </c>
      <c r="F652">
        <f t="shared" si="47"/>
        <v>561</v>
      </c>
      <c r="G652">
        <f t="shared" ca="1" si="46"/>
        <v>0.495</v>
      </c>
    </row>
    <row r="653" spans="1:7">
      <c r="A653">
        <f t="shared" si="43"/>
        <v>558</v>
      </c>
      <c r="B653">
        <f t="shared" ca="1" si="44"/>
        <v>0.41</v>
      </c>
      <c r="C653" s="6">
        <f t="shared" ca="1" si="45"/>
        <v>-63922.043576258453</v>
      </c>
      <c r="F653">
        <f t="shared" si="47"/>
        <v>562</v>
      </c>
      <c r="G653">
        <f t="shared" ca="1" si="46"/>
        <v>0.67900000000000005</v>
      </c>
    </row>
    <row r="654" spans="1:7">
      <c r="A654">
        <f t="shared" si="43"/>
        <v>559</v>
      </c>
      <c r="B654">
        <f t="shared" ca="1" si="44"/>
        <v>0.79</v>
      </c>
      <c r="C654" s="6">
        <f t="shared" ca="1" si="45"/>
        <v>-63922.043576258453</v>
      </c>
      <c r="F654">
        <f t="shared" si="47"/>
        <v>563</v>
      </c>
      <c r="G654">
        <f t="shared" ca="1" si="46"/>
        <v>0.83599999999999997</v>
      </c>
    </row>
    <row r="655" spans="1:7">
      <c r="A655">
        <f t="shared" si="43"/>
        <v>560</v>
      </c>
      <c r="B655">
        <f t="shared" ca="1" si="44"/>
        <v>0.7</v>
      </c>
      <c r="C655" s="6">
        <f t="shared" ca="1" si="45"/>
        <v>-63922.043576258453</v>
      </c>
      <c r="F655">
        <f t="shared" si="47"/>
        <v>564</v>
      </c>
      <c r="G655">
        <f t="shared" ca="1" si="46"/>
        <v>0.91300000000000003</v>
      </c>
    </row>
    <row r="656" spans="1:7">
      <c r="A656">
        <f t="shared" si="43"/>
        <v>561</v>
      </c>
      <c r="B656">
        <f t="shared" ca="1" si="44"/>
        <v>0.96</v>
      </c>
      <c r="C656" s="6">
        <f t="shared" ca="1" si="45"/>
        <v>-63922.043576258453</v>
      </c>
      <c r="F656">
        <f t="shared" si="47"/>
        <v>565</v>
      </c>
      <c r="G656">
        <f t="shared" ca="1" si="46"/>
        <v>0.63200000000000001</v>
      </c>
    </row>
    <row r="657" spans="1:7">
      <c r="A657">
        <f t="shared" si="43"/>
        <v>562</v>
      </c>
      <c r="B657">
        <f t="shared" ca="1" si="44"/>
        <v>0.96</v>
      </c>
      <c r="C657" s="6">
        <f t="shared" ca="1" si="45"/>
        <v>-63922.043576258453</v>
      </c>
      <c r="F657">
        <f t="shared" si="47"/>
        <v>566</v>
      </c>
      <c r="G657">
        <f t="shared" ca="1" si="46"/>
        <v>0.498</v>
      </c>
    </row>
    <row r="658" spans="1:7">
      <c r="A658">
        <f t="shared" si="43"/>
        <v>563</v>
      </c>
      <c r="B658">
        <f t="shared" ca="1" si="44"/>
        <v>0.91</v>
      </c>
      <c r="C658" s="6">
        <f t="shared" ca="1" si="45"/>
        <v>-63922.043576258453</v>
      </c>
      <c r="F658">
        <f t="shared" si="47"/>
        <v>567</v>
      </c>
      <c r="G658">
        <f t="shared" ca="1" si="46"/>
        <v>0.5</v>
      </c>
    </row>
    <row r="659" spans="1:7">
      <c r="A659">
        <f t="shared" si="43"/>
        <v>564</v>
      </c>
      <c r="B659">
        <f t="shared" ca="1" si="44"/>
        <v>0.81</v>
      </c>
      <c r="C659" s="6">
        <f t="shared" ca="1" si="45"/>
        <v>-63922.043576258453</v>
      </c>
      <c r="F659">
        <f t="shared" si="47"/>
        <v>568</v>
      </c>
      <c r="G659">
        <f t="shared" ca="1" si="46"/>
        <v>0.79700000000000004</v>
      </c>
    </row>
    <row r="660" spans="1:7">
      <c r="A660">
        <f t="shared" si="43"/>
        <v>565</v>
      </c>
      <c r="B660">
        <f t="shared" ca="1" si="44"/>
        <v>0.5</v>
      </c>
      <c r="C660" s="6">
        <f t="shared" ca="1" si="45"/>
        <v>-63922.043576258453</v>
      </c>
      <c r="F660">
        <f t="shared" si="47"/>
        <v>569</v>
      </c>
      <c r="G660">
        <f t="shared" ca="1" si="46"/>
        <v>0.47099999999999997</v>
      </c>
    </row>
    <row r="661" spans="1:7">
      <c r="A661">
        <f t="shared" si="43"/>
        <v>566</v>
      </c>
      <c r="B661">
        <f t="shared" ca="1" si="44"/>
        <v>0.73</v>
      </c>
      <c r="C661" s="6">
        <f t="shared" ca="1" si="45"/>
        <v>-63922.043576258453</v>
      </c>
      <c r="F661">
        <f t="shared" si="47"/>
        <v>570</v>
      </c>
      <c r="G661">
        <f t="shared" ca="1" si="46"/>
        <v>0.81299999999999994</v>
      </c>
    </row>
    <row r="662" spans="1:7">
      <c r="A662">
        <f t="shared" si="43"/>
        <v>567</v>
      </c>
      <c r="B662">
        <f t="shared" ca="1" si="44"/>
        <v>0.7</v>
      </c>
      <c r="C662" s="6">
        <f t="shared" ca="1" si="45"/>
        <v>-63922.043576258453</v>
      </c>
      <c r="F662">
        <f t="shared" si="47"/>
        <v>571</v>
      </c>
      <c r="G662">
        <f t="shared" ca="1" si="46"/>
        <v>0.90200000000000002</v>
      </c>
    </row>
    <row r="663" spans="1:7">
      <c r="A663">
        <f t="shared" si="43"/>
        <v>568</v>
      </c>
      <c r="B663">
        <f t="shared" ca="1" si="44"/>
        <v>0.47</v>
      </c>
      <c r="C663" s="6">
        <f t="shared" ca="1" si="45"/>
        <v>-63922.043576258453</v>
      </c>
      <c r="F663">
        <f t="shared" si="47"/>
        <v>572</v>
      </c>
      <c r="G663">
        <f t="shared" ca="1" si="46"/>
        <v>0.93</v>
      </c>
    </row>
    <row r="664" spans="1:7">
      <c r="A664">
        <f t="shared" si="43"/>
        <v>569</v>
      </c>
      <c r="B664">
        <f t="shared" ca="1" si="44"/>
        <v>0.8</v>
      </c>
      <c r="C664" s="6">
        <f t="shared" ca="1" si="45"/>
        <v>-63922.043576258453</v>
      </c>
      <c r="F664">
        <f t="shared" si="47"/>
        <v>573</v>
      </c>
      <c r="G664">
        <f t="shared" ca="1" si="46"/>
        <v>0.68500000000000005</v>
      </c>
    </row>
    <row r="665" spans="1:7">
      <c r="A665">
        <f t="shared" si="43"/>
        <v>570</v>
      </c>
      <c r="B665">
        <f t="shared" ca="1" si="44"/>
        <v>0.59</v>
      </c>
      <c r="C665" s="6">
        <f t="shared" ca="1" si="45"/>
        <v>-63922.043576258453</v>
      </c>
      <c r="F665">
        <f t="shared" si="47"/>
        <v>574</v>
      </c>
      <c r="G665">
        <f t="shared" ca="1" si="46"/>
        <v>0.51300000000000001</v>
      </c>
    </row>
    <row r="666" spans="1:7">
      <c r="A666">
        <f t="shared" si="43"/>
        <v>571</v>
      </c>
      <c r="B666">
        <f t="shared" ca="1" si="44"/>
        <v>0.55000000000000004</v>
      </c>
      <c r="C666" s="6">
        <f t="shared" ca="1" si="45"/>
        <v>-63922.043576258453</v>
      </c>
      <c r="F666">
        <f t="shared" si="47"/>
        <v>575</v>
      </c>
      <c r="G666">
        <f t="shared" ca="1" si="46"/>
        <v>0.64900000000000002</v>
      </c>
    </row>
    <row r="667" spans="1:7">
      <c r="A667">
        <f t="shared" ref="A667:A730" si="48">ROW()-95</f>
        <v>572</v>
      </c>
      <c r="B667">
        <f t="shared" ref="B667:B730" ca="1" si="49">RANDBETWEEN(40,100)/100</f>
        <v>0.98</v>
      </c>
      <c r="C667" s="6">
        <f t="shared" ref="C667:C730" ca="1" si="50">$B$71 + 0*B667</f>
        <v>-63922.043576258453</v>
      </c>
      <c r="F667">
        <f t="shared" si="47"/>
        <v>576</v>
      </c>
      <c r="G667">
        <f t="shared" ca="1" si="46"/>
        <v>0.69099999999999995</v>
      </c>
    </row>
    <row r="668" spans="1:7">
      <c r="A668">
        <f t="shared" si="48"/>
        <v>573</v>
      </c>
      <c r="B668">
        <f t="shared" ca="1" si="49"/>
        <v>0.44</v>
      </c>
      <c r="C668" s="6">
        <f t="shared" ca="1" si="50"/>
        <v>-63922.043576258453</v>
      </c>
      <c r="F668">
        <f t="shared" si="47"/>
        <v>577</v>
      </c>
      <c r="G668">
        <f t="shared" ca="1" si="46"/>
        <v>0.55200000000000005</v>
      </c>
    </row>
    <row r="669" spans="1:7">
      <c r="A669">
        <f t="shared" si="48"/>
        <v>574</v>
      </c>
      <c r="B669">
        <f t="shared" ca="1" si="49"/>
        <v>0.82</v>
      </c>
      <c r="C669" s="6">
        <f t="shared" ca="1" si="50"/>
        <v>-63922.043576258453</v>
      </c>
      <c r="F669">
        <f t="shared" si="47"/>
        <v>578</v>
      </c>
      <c r="G669">
        <f t="shared" ref="G669:G732" ca="1" si="51">ROUND(RAND()*(1-0.4)+0.4,3)</f>
        <v>0.86</v>
      </c>
    </row>
    <row r="670" spans="1:7">
      <c r="A670">
        <f t="shared" si="48"/>
        <v>575</v>
      </c>
      <c r="B670">
        <f t="shared" ca="1" si="49"/>
        <v>1</v>
      </c>
      <c r="C670" s="6">
        <f t="shared" ca="1" si="50"/>
        <v>-63922.043576258453</v>
      </c>
      <c r="F670">
        <f t="shared" ref="F670:F733" si="52">F669+1</f>
        <v>579</v>
      </c>
      <c r="G670">
        <f t="shared" ca="1" si="51"/>
        <v>0.51300000000000001</v>
      </c>
    </row>
    <row r="671" spans="1:7">
      <c r="A671">
        <f t="shared" si="48"/>
        <v>576</v>
      </c>
      <c r="B671">
        <f t="shared" ca="1" si="49"/>
        <v>0.42</v>
      </c>
      <c r="C671" s="6">
        <f t="shared" ca="1" si="50"/>
        <v>-63922.043576258453</v>
      </c>
      <c r="F671">
        <f t="shared" si="52"/>
        <v>580</v>
      </c>
      <c r="G671">
        <f t="shared" ca="1" si="51"/>
        <v>0.67800000000000005</v>
      </c>
    </row>
    <row r="672" spans="1:7">
      <c r="A672">
        <f t="shared" si="48"/>
        <v>577</v>
      </c>
      <c r="B672">
        <f t="shared" ca="1" si="49"/>
        <v>0.89</v>
      </c>
      <c r="C672" s="6">
        <f t="shared" ca="1" si="50"/>
        <v>-63922.043576258453</v>
      </c>
      <c r="F672">
        <f t="shared" si="52"/>
        <v>581</v>
      </c>
      <c r="G672">
        <f t="shared" ca="1" si="51"/>
        <v>0.56100000000000005</v>
      </c>
    </row>
    <row r="673" spans="1:7">
      <c r="A673">
        <f t="shared" si="48"/>
        <v>578</v>
      </c>
      <c r="B673">
        <f t="shared" ca="1" si="49"/>
        <v>0.49</v>
      </c>
      <c r="C673" s="6">
        <f t="shared" ca="1" si="50"/>
        <v>-63922.043576258453</v>
      </c>
      <c r="F673">
        <f t="shared" si="52"/>
        <v>582</v>
      </c>
      <c r="G673">
        <f t="shared" ca="1" si="51"/>
        <v>0.54400000000000004</v>
      </c>
    </row>
    <row r="674" spans="1:7">
      <c r="A674">
        <f t="shared" si="48"/>
        <v>579</v>
      </c>
      <c r="B674">
        <f t="shared" ca="1" si="49"/>
        <v>0.76</v>
      </c>
      <c r="C674" s="6">
        <f t="shared" ca="1" si="50"/>
        <v>-63922.043576258453</v>
      </c>
      <c r="F674">
        <f t="shared" si="52"/>
        <v>583</v>
      </c>
      <c r="G674">
        <f t="shared" ca="1" si="51"/>
        <v>0.59199999999999997</v>
      </c>
    </row>
    <row r="675" spans="1:7">
      <c r="A675">
        <f t="shared" si="48"/>
        <v>580</v>
      </c>
      <c r="B675">
        <f t="shared" ca="1" si="49"/>
        <v>0.62</v>
      </c>
      <c r="C675" s="6">
        <f t="shared" ca="1" si="50"/>
        <v>-63922.043576258453</v>
      </c>
      <c r="F675">
        <f t="shared" si="52"/>
        <v>584</v>
      </c>
      <c r="G675">
        <f t="shared" ca="1" si="51"/>
        <v>0.47099999999999997</v>
      </c>
    </row>
    <row r="676" spans="1:7">
      <c r="A676">
        <f t="shared" si="48"/>
        <v>581</v>
      </c>
      <c r="B676">
        <f t="shared" ca="1" si="49"/>
        <v>0.74</v>
      </c>
      <c r="C676" s="6">
        <f t="shared" ca="1" si="50"/>
        <v>-63922.043576258453</v>
      </c>
      <c r="F676">
        <f t="shared" si="52"/>
        <v>585</v>
      </c>
      <c r="G676">
        <f t="shared" ca="1" si="51"/>
        <v>0.44600000000000001</v>
      </c>
    </row>
    <row r="677" spans="1:7">
      <c r="A677">
        <f t="shared" si="48"/>
        <v>582</v>
      </c>
      <c r="B677">
        <f t="shared" ca="1" si="49"/>
        <v>0.94</v>
      </c>
      <c r="C677" s="6">
        <f t="shared" ca="1" si="50"/>
        <v>-63922.043576258453</v>
      </c>
      <c r="F677">
        <f t="shared" si="52"/>
        <v>586</v>
      </c>
      <c r="G677">
        <f t="shared" ca="1" si="51"/>
        <v>0.40600000000000003</v>
      </c>
    </row>
    <row r="678" spans="1:7">
      <c r="A678">
        <f t="shared" si="48"/>
        <v>583</v>
      </c>
      <c r="B678">
        <f t="shared" ca="1" si="49"/>
        <v>0.73</v>
      </c>
      <c r="C678" s="6">
        <f t="shared" ca="1" si="50"/>
        <v>-63922.043576258453</v>
      </c>
      <c r="F678">
        <f t="shared" si="52"/>
        <v>587</v>
      </c>
      <c r="G678">
        <f t="shared" ca="1" si="51"/>
        <v>0.71599999999999997</v>
      </c>
    </row>
    <row r="679" spans="1:7">
      <c r="A679">
        <f t="shared" si="48"/>
        <v>584</v>
      </c>
      <c r="B679">
        <f t="shared" ca="1" si="49"/>
        <v>0.41</v>
      </c>
      <c r="C679" s="6">
        <f t="shared" ca="1" si="50"/>
        <v>-63922.043576258453</v>
      </c>
      <c r="F679">
        <f t="shared" si="52"/>
        <v>588</v>
      </c>
      <c r="G679">
        <f t="shared" ca="1" si="51"/>
        <v>0.60299999999999998</v>
      </c>
    </row>
    <row r="680" spans="1:7">
      <c r="A680">
        <f t="shared" si="48"/>
        <v>585</v>
      </c>
      <c r="B680">
        <f t="shared" ca="1" si="49"/>
        <v>0.86</v>
      </c>
      <c r="C680" s="6">
        <f t="shared" ca="1" si="50"/>
        <v>-63922.043576258453</v>
      </c>
      <c r="F680">
        <f t="shared" si="52"/>
        <v>589</v>
      </c>
      <c r="G680">
        <f t="shared" ca="1" si="51"/>
        <v>0.51200000000000001</v>
      </c>
    </row>
    <row r="681" spans="1:7">
      <c r="A681">
        <f t="shared" si="48"/>
        <v>586</v>
      </c>
      <c r="B681">
        <f t="shared" ca="1" si="49"/>
        <v>0.48</v>
      </c>
      <c r="C681" s="6">
        <f t="shared" ca="1" si="50"/>
        <v>-63922.043576258453</v>
      </c>
      <c r="F681">
        <f t="shared" si="52"/>
        <v>590</v>
      </c>
      <c r="G681">
        <f t="shared" ca="1" si="51"/>
        <v>0.71299999999999997</v>
      </c>
    </row>
    <row r="682" spans="1:7">
      <c r="A682">
        <f t="shared" si="48"/>
        <v>587</v>
      </c>
      <c r="B682">
        <f t="shared" ca="1" si="49"/>
        <v>0.4</v>
      </c>
      <c r="C682" s="6">
        <f t="shared" ca="1" si="50"/>
        <v>-63922.043576258453</v>
      </c>
      <c r="F682">
        <f t="shared" si="52"/>
        <v>591</v>
      </c>
      <c r="G682">
        <f t="shared" ca="1" si="51"/>
        <v>0.76</v>
      </c>
    </row>
    <row r="683" spans="1:7">
      <c r="A683">
        <f t="shared" si="48"/>
        <v>588</v>
      </c>
      <c r="B683">
        <f t="shared" ca="1" si="49"/>
        <v>0.5</v>
      </c>
      <c r="C683" s="6">
        <f t="shared" ca="1" si="50"/>
        <v>-63922.043576258453</v>
      </c>
      <c r="F683">
        <f t="shared" si="52"/>
        <v>592</v>
      </c>
      <c r="G683">
        <f t="shared" ca="1" si="51"/>
        <v>0.93100000000000005</v>
      </c>
    </row>
    <row r="684" spans="1:7">
      <c r="A684">
        <f t="shared" si="48"/>
        <v>589</v>
      </c>
      <c r="B684">
        <f t="shared" ca="1" si="49"/>
        <v>0.93</v>
      </c>
      <c r="C684" s="6">
        <f t="shared" ca="1" si="50"/>
        <v>-63922.043576258453</v>
      </c>
      <c r="F684">
        <f t="shared" si="52"/>
        <v>593</v>
      </c>
      <c r="G684">
        <f t="shared" ca="1" si="51"/>
        <v>0.94699999999999995</v>
      </c>
    </row>
    <row r="685" spans="1:7">
      <c r="A685">
        <f t="shared" si="48"/>
        <v>590</v>
      </c>
      <c r="B685">
        <f t="shared" ca="1" si="49"/>
        <v>0.64</v>
      </c>
      <c r="C685" s="6">
        <f t="shared" ca="1" si="50"/>
        <v>-63922.043576258453</v>
      </c>
      <c r="F685">
        <f t="shared" si="52"/>
        <v>594</v>
      </c>
      <c r="G685">
        <f t="shared" ca="1" si="51"/>
        <v>0.57599999999999996</v>
      </c>
    </row>
    <row r="686" spans="1:7">
      <c r="A686">
        <f t="shared" si="48"/>
        <v>591</v>
      </c>
      <c r="B686">
        <f t="shared" ca="1" si="49"/>
        <v>0.72</v>
      </c>
      <c r="C686" s="6">
        <f t="shared" ca="1" si="50"/>
        <v>-63922.043576258453</v>
      </c>
      <c r="F686">
        <f t="shared" si="52"/>
        <v>595</v>
      </c>
      <c r="G686">
        <f t="shared" ca="1" si="51"/>
        <v>0.63200000000000001</v>
      </c>
    </row>
    <row r="687" spans="1:7">
      <c r="A687">
        <f t="shared" si="48"/>
        <v>592</v>
      </c>
      <c r="B687">
        <f t="shared" ca="1" si="49"/>
        <v>0.85</v>
      </c>
      <c r="C687" s="6">
        <f t="shared" ca="1" si="50"/>
        <v>-63922.043576258453</v>
      </c>
      <c r="F687">
        <f t="shared" si="52"/>
        <v>596</v>
      </c>
      <c r="G687">
        <f t="shared" ca="1" si="51"/>
        <v>0.98</v>
      </c>
    </row>
    <row r="688" spans="1:7">
      <c r="A688">
        <f t="shared" si="48"/>
        <v>593</v>
      </c>
      <c r="B688">
        <f t="shared" ca="1" si="49"/>
        <v>0.56000000000000005</v>
      </c>
      <c r="C688" s="6">
        <f t="shared" ca="1" si="50"/>
        <v>-63922.043576258453</v>
      </c>
      <c r="F688">
        <f t="shared" si="52"/>
        <v>597</v>
      </c>
      <c r="G688">
        <f t="shared" ca="1" si="51"/>
        <v>0.80500000000000005</v>
      </c>
    </row>
    <row r="689" spans="1:7">
      <c r="A689">
        <f t="shared" si="48"/>
        <v>594</v>
      </c>
      <c r="B689">
        <f t="shared" ca="1" si="49"/>
        <v>0.8</v>
      </c>
      <c r="C689" s="6">
        <f t="shared" ca="1" si="50"/>
        <v>-63922.043576258453</v>
      </c>
      <c r="F689">
        <f t="shared" si="52"/>
        <v>598</v>
      </c>
      <c r="G689">
        <f t="shared" ca="1" si="51"/>
        <v>0.50700000000000001</v>
      </c>
    </row>
    <row r="690" spans="1:7">
      <c r="A690">
        <f t="shared" si="48"/>
        <v>595</v>
      </c>
      <c r="B690">
        <f t="shared" ca="1" si="49"/>
        <v>0.97</v>
      </c>
      <c r="C690" s="6">
        <f t="shared" ca="1" si="50"/>
        <v>-63922.043576258453</v>
      </c>
      <c r="F690">
        <f t="shared" si="52"/>
        <v>599</v>
      </c>
      <c r="G690">
        <f t="shared" ca="1" si="51"/>
        <v>0.42799999999999999</v>
      </c>
    </row>
    <row r="691" spans="1:7">
      <c r="A691">
        <f t="shared" si="48"/>
        <v>596</v>
      </c>
      <c r="B691">
        <f t="shared" ca="1" si="49"/>
        <v>0.89</v>
      </c>
      <c r="C691" s="6">
        <f t="shared" ca="1" si="50"/>
        <v>-63922.043576258453</v>
      </c>
      <c r="F691">
        <f t="shared" si="52"/>
        <v>600</v>
      </c>
      <c r="G691">
        <f t="shared" ca="1" si="51"/>
        <v>0.66600000000000004</v>
      </c>
    </row>
    <row r="692" spans="1:7">
      <c r="A692">
        <f t="shared" si="48"/>
        <v>597</v>
      </c>
      <c r="B692">
        <f t="shared" ca="1" si="49"/>
        <v>0.49</v>
      </c>
      <c r="C692" s="6">
        <f t="shared" ca="1" si="50"/>
        <v>-63922.043576258453</v>
      </c>
      <c r="F692">
        <f t="shared" si="52"/>
        <v>601</v>
      </c>
      <c r="G692">
        <f t="shared" ca="1" si="51"/>
        <v>0.97199999999999998</v>
      </c>
    </row>
    <row r="693" spans="1:7">
      <c r="A693">
        <f t="shared" si="48"/>
        <v>598</v>
      </c>
      <c r="B693">
        <f t="shared" ca="1" si="49"/>
        <v>0.86</v>
      </c>
      <c r="C693" s="6">
        <f t="shared" ca="1" si="50"/>
        <v>-63922.043576258453</v>
      </c>
      <c r="F693">
        <f t="shared" si="52"/>
        <v>602</v>
      </c>
      <c r="G693">
        <f t="shared" ca="1" si="51"/>
        <v>0.84299999999999997</v>
      </c>
    </row>
    <row r="694" spans="1:7">
      <c r="A694">
        <f t="shared" si="48"/>
        <v>599</v>
      </c>
      <c r="B694">
        <f t="shared" ca="1" si="49"/>
        <v>0.86</v>
      </c>
      <c r="C694" s="6">
        <f t="shared" ca="1" si="50"/>
        <v>-63922.043576258453</v>
      </c>
      <c r="F694">
        <f t="shared" si="52"/>
        <v>603</v>
      </c>
      <c r="G694">
        <f t="shared" ca="1" si="51"/>
        <v>0.58899999999999997</v>
      </c>
    </row>
    <row r="695" spans="1:7">
      <c r="A695">
        <f t="shared" si="48"/>
        <v>600</v>
      </c>
      <c r="B695">
        <f t="shared" ca="1" si="49"/>
        <v>0.94</v>
      </c>
      <c r="C695" s="6">
        <f t="shared" ca="1" si="50"/>
        <v>-63922.043576258453</v>
      </c>
      <c r="F695">
        <f t="shared" si="52"/>
        <v>604</v>
      </c>
      <c r="G695">
        <f t="shared" ca="1" si="51"/>
        <v>0.79500000000000004</v>
      </c>
    </row>
    <row r="696" spans="1:7">
      <c r="A696">
        <f t="shared" si="48"/>
        <v>601</v>
      </c>
      <c r="B696">
        <f t="shared" ca="1" si="49"/>
        <v>0.97</v>
      </c>
      <c r="C696" s="6">
        <f t="shared" ca="1" si="50"/>
        <v>-63922.043576258453</v>
      </c>
      <c r="F696">
        <f t="shared" si="52"/>
        <v>605</v>
      </c>
      <c r="G696">
        <f t="shared" ca="1" si="51"/>
        <v>0.74199999999999999</v>
      </c>
    </row>
    <row r="697" spans="1:7">
      <c r="A697">
        <f t="shared" si="48"/>
        <v>602</v>
      </c>
      <c r="B697">
        <f t="shared" ca="1" si="49"/>
        <v>0.76</v>
      </c>
      <c r="C697" s="6">
        <f t="shared" ca="1" si="50"/>
        <v>-63922.043576258453</v>
      </c>
      <c r="F697">
        <f t="shared" si="52"/>
        <v>606</v>
      </c>
      <c r="G697">
        <f t="shared" ca="1" si="51"/>
        <v>0.77800000000000002</v>
      </c>
    </row>
    <row r="698" spans="1:7">
      <c r="A698">
        <f t="shared" si="48"/>
        <v>603</v>
      </c>
      <c r="B698">
        <f t="shared" ca="1" si="49"/>
        <v>0.82</v>
      </c>
      <c r="C698" s="6">
        <f t="shared" ca="1" si="50"/>
        <v>-63922.043576258453</v>
      </c>
      <c r="F698">
        <f t="shared" si="52"/>
        <v>607</v>
      </c>
      <c r="G698">
        <f t="shared" ca="1" si="51"/>
        <v>0.47799999999999998</v>
      </c>
    </row>
    <row r="699" spans="1:7">
      <c r="A699">
        <f t="shared" si="48"/>
        <v>604</v>
      </c>
      <c r="B699">
        <f t="shared" ca="1" si="49"/>
        <v>0.7</v>
      </c>
      <c r="C699" s="6">
        <f t="shared" ca="1" si="50"/>
        <v>-63922.043576258453</v>
      </c>
      <c r="F699">
        <f t="shared" si="52"/>
        <v>608</v>
      </c>
      <c r="G699">
        <f t="shared" ca="1" si="51"/>
        <v>0.55000000000000004</v>
      </c>
    </row>
    <row r="700" spans="1:7">
      <c r="A700">
        <f t="shared" si="48"/>
        <v>605</v>
      </c>
      <c r="B700">
        <f t="shared" ca="1" si="49"/>
        <v>0.7</v>
      </c>
      <c r="C700" s="6">
        <f t="shared" ca="1" si="50"/>
        <v>-63922.043576258453</v>
      </c>
      <c r="F700">
        <f t="shared" si="52"/>
        <v>609</v>
      </c>
      <c r="G700">
        <f t="shared" ca="1" si="51"/>
        <v>0.79700000000000004</v>
      </c>
    </row>
    <row r="701" spans="1:7">
      <c r="A701">
        <f t="shared" si="48"/>
        <v>606</v>
      </c>
      <c r="B701">
        <f t="shared" ca="1" si="49"/>
        <v>0.4</v>
      </c>
      <c r="C701" s="6">
        <f t="shared" ca="1" si="50"/>
        <v>-63922.043576258453</v>
      </c>
      <c r="F701">
        <f t="shared" si="52"/>
        <v>610</v>
      </c>
      <c r="G701">
        <f t="shared" ca="1" si="51"/>
        <v>0.53</v>
      </c>
    </row>
    <row r="702" spans="1:7">
      <c r="A702">
        <f t="shared" si="48"/>
        <v>607</v>
      </c>
      <c r="B702">
        <f t="shared" ca="1" si="49"/>
        <v>0.83</v>
      </c>
      <c r="C702" s="6">
        <f t="shared" ca="1" si="50"/>
        <v>-63922.043576258453</v>
      </c>
      <c r="F702">
        <f t="shared" si="52"/>
        <v>611</v>
      </c>
      <c r="G702">
        <f t="shared" ca="1" si="51"/>
        <v>0.96799999999999997</v>
      </c>
    </row>
    <row r="703" spans="1:7">
      <c r="A703">
        <f t="shared" si="48"/>
        <v>608</v>
      </c>
      <c r="B703">
        <f t="shared" ca="1" si="49"/>
        <v>0.47</v>
      </c>
      <c r="C703" s="6">
        <f t="shared" ca="1" si="50"/>
        <v>-63922.043576258453</v>
      </c>
      <c r="F703">
        <f t="shared" si="52"/>
        <v>612</v>
      </c>
      <c r="G703">
        <f t="shared" ca="1" si="51"/>
        <v>0.59899999999999998</v>
      </c>
    </row>
    <row r="704" spans="1:7">
      <c r="A704">
        <f t="shared" si="48"/>
        <v>609</v>
      </c>
      <c r="B704">
        <f t="shared" ca="1" si="49"/>
        <v>0.63</v>
      </c>
      <c r="C704" s="6">
        <f t="shared" ca="1" si="50"/>
        <v>-63922.043576258453</v>
      </c>
      <c r="F704">
        <f t="shared" si="52"/>
        <v>613</v>
      </c>
      <c r="G704">
        <f t="shared" ca="1" si="51"/>
        <v>0.53</v>
      </c>
    </row>
    <row r="705" spans="1:7">
      <c r="A705">
        <f t="shared" si="48"/>
        <v>610</v>
      </c>
      <c r="B705">
        <f t="shared" ca="1" si="49"/>
        <v>0.81</v>
      </c>
      <c r="C705" s="6">
        <f t="shared" ca="1" si="50"/>
        <v>-63922.043576258453</v>
      </c>
      <c r="F705">
        <f t="shared" si="52"/>
        <v>614</v>
      </c>
      <c r="G705">
        <f t="shared" ca="1" si="51"/>
        <v>0.747</v>
      </c>
    </row>
    <row r="706" spans="1:7">
      <c r="A706">
        <f t="shared" si="48"/>
        <v>611</v>
      </c>
      <c r="B706">
        <f t="shared" ca="1" si="49"/>
        <v>0.72</v>
      </c>
      <c r="C706" s="6">
        <f t="shared" ca="1" si="50"/>
        <v>-63922.043576258453</v>
      </c>
      <c r="F706">
        <f t="shared" si="52"/>
        <v>615</v>
      </c>
      <c r="G706">
        <f t="shared" ca="1" si="51"/>
        <v>0.70399999999999996</v>
      </c>
    </row>
    <row r="707" spans="1:7">
      <c r="A707">
        <f t="shared" si="48"/>
        <v>612</v>
      </c>
      <c r="B707">
        <f t="shared" ca="1" si="49"/>
        <v>0.41</v>
      </c>
      <c r="C707" s="6">
        <f t="shared" ca="1" si="50"/>
        <v>-63922.043576258453</v>
      </c>
      <c r="F707">
        <f t="shared" si="52"/>
        <v>616</v>
      </c>
      <c r="G707">
        <f t="shared" ca="1" si="51"/>
        <v>0.86</v>
      </c>
    </row>
    <row r="708" spans="1:7">
      <c r="A708">
        <f t="shared" si="48"/>
        <v>613</v>
      </c>
      <c r="B708">
        <f t="shared" ca="1" si="49"/>
        <v>0.68</v>
      </c>
      <c r="C708" s="6">
        <f t="shared" ca="1" si="50"/>
        <v>-63922.043576258453</v>
      </c>
      <c r="F708">
        <f t="shared" si="52"/>
        <v>617</v>
      </c>
      <c r="G708">
        <f t="shared" ca="1" si="51"/>
        <v>0.98599999999999999</v>
      </c>
    </row>
    <row r="709" spans="1:7">
      <c r="A709">
        <f t="shared" si="48"/>
        <v>614</v>
      </c>
      <c r="B709">
        <f t="shared" ca="1" si="49"/>
        <v>0.76</v>
      </c>
      <c r="C709" s="6">
        <f t="shared" ca="1" si="50"/>
        <v>-63922.043576258453</v>
      </c>
      <c r="F709">
        <f t="shared" si="52"/>
        <v>618</v>
      </c>
      <c r="G709">
        <f t="shared" ca="1" si="51"/>
        <v>0.94499999999999995</v>
      </c>
    </row>
    <row r="710" spans="1:7">
      <c r="A710">
        <f t="shared" si="48"/>
        <v>615</v>
      </c>
      <c r="B710">
        <f t="shared" ca="1" si="49"/>
        <v>0.5</v>
      </c>
      <c r="C710" s="6">
        <f t="shared" ca="1" si="50"/>
        <v>-63922.043576258453</v>
      </c>
      <c r="F710">
        <f t="shared" si="52"/>
        <v>619</v>
      </c>
      <c r="G710">
        <f t="shared" ca="1" si="51"/>
        <v>0.56599999999999995</v>
      </c>
    </row>
    <row r="711" spans="1:7">
      <c r="A711">
        <f t="shared" si="48"/>
        <v>616</v>
      </c>
      <c r="B711">
        <f t="shared" ca="1" si="49"/>
        <v>1</v>
      </c>
      <c r="C711" s="6">
        <f t="shared" ca="1" si="50"/>
        <v>-63922.043576258453</v>
      </c>
      <c r="F711">
        <f t="shared" si="52"/>
        <v>620</v>
      </c>
      <c r="G711">
        <f t="shared" ca="1" si="51"/>
        <v>0.55200000000000005</v>
      </c>
    </row>
    <row r="712" spans="1:7">
      <c r="A712">
        <f t="shared" si="48"/>
        <v>617</v>
      </c>
      <c r="B712">
        <f t="shared" ca="1" si="49"/>
        <v>0.44</v>
      </c>
      <c r="C712" s="6">
        <f t="shared" ca="1" si="50"/>
        <v>-63922.043576258453</v>
      </c>
      <c r="F712">
        <f t="shared" si="52"/>
        <v>621</v>
      </c>
      <c r="G712">
        <f t="shared" ca="1" si="51"/>
        <v>0.46600000000000003</v>
      </c>
    </row>
    <row r="713" spans="1:7">
      <c r="A713">
        <f t="shared" si="48"/>
        <v>618</v>
      </c>
      <c r="B713">
        <f t="shared" ca="1" si="49"/>
        <v>0.52</v>
      </c>
      <c r="C713" s="6">
        <f t="shared" ca="1" si="50"/>
        <v>-63922.043576258453</v>
      </c>
      <c r="F713">
        <f t="shared" si="52"/>
        <v>622</v>
      </c>
      <c r="G713">
        <f t="shared" ca="1" si="51"/>
        <v>0.98199999999999998</v>
      </c>
    </row>
    <row r="714" spans="1:7">
      <c r="A714">
        <f t="shared" si="48"/>
        <v>619</v>
      </c>
      <c r="B714">
        <f t="shared" ca="1" si="49"/>
        <v>0.96</v>
      </c>
      <c r="C714" s="6">
        <f t="shared" ca="1" si="50"/>
        <v>-63922.043576258453</v>
      </c>
      <c r="F714">
        <f t="shared" si="52"/>
        <v>623</v>
      </c>
      <c r="G714">
        <f t="shared" ca="1" si="51"/>
        <v>0.54200000000000004</v>
      </c>
    </row>
    <row r="715" spans="1:7">
      <c r="A715">
        <f t="shared" si="48"/>
        <v>620</v>
      </c>
      <c r="B715">
        <f t="shared" ca="1" si="49"/>
        <v>0.43</v>
      </c>
      <c r="C715" s="6">
        <f t="shared" ca="1" si="50"/>
        <v>-63922.043576258453</v>
      </c>
      <c r="F715">
        <f t="shared" si="52"/>
        <v>624</v>
      </c>
      <c r="G715">
        <f t="shared" ca="1" si="51"/>
        <v>0.86099999999999999</v>
      </c>
    </row>
    <row r="716" spans="1:7">
      <c r="A716">
        <f t="shared" si="48"/>
        <v>621</v>
      </c>
      <c r="B716">
        <f t="shared" ca="1" si="49"/>
        <v>0.68</v>
      </c>
      <c r="C716" s="6">
        <f t="shared" ca="1" si="50"/>
        <v>-63922.043576258453</v>
      </c>
      <c r="F716">
        <f t="shared" si="52"/>
        <v>625</v>
      </c>
      <c r="G716">
        <f t="shared" ca="1" si="51"/>
        <v>0.98699999999999999</v>
      </c>
    </row>
    <row r="717" spans="1:7">
      <c r="A717">
        <f t="shared" si="48"/>
        <v>622</v>
      </c>
      <c r="B717">
        <f t="shared" ca="1" si="49"/>
        <v>0.87</v>
      </c>
      <c r="C717" s="6">
        <f t="shared" ca="1" si="50"/>
        <v>-63922.043576258453</v>
      </c>
      <c r="F717">
        <f t="shared" si="52"/>
        <v>626</v>
      </c>
      <c r="G717">
        <f t="shared" ca="1" si="51"/>
        <v>0.73</v>
      </c>
    </row>
    <row r="718" spans="1:7">
      <c r="A718">
        <f t="shared" si="48"/>
        <v>623</v>
      </c>
      <c r="B718">
        <f t="shared" ca="1" si="49"/>
        <v>0.9</v>
      </c>
      <c r="C718" s="6">
        <f t="shared" ca="1" si="50"/>
        <v>-63922.043576258453</v>
      </c>
      <c r="F718">
        <f t="shared" si="52"/>
        <v>627</v>
      </c>
      <c r="G718">
        <f t="shared" ca="1" si="51"/>
        <v>0.93200000000000005</v>
      </c>
    </row>
    <row r="719" spans="1:7">
      <c r="A719">
        <f t="shared" si="48"/>
        <v>624</v>
      </c>
      <c r="B719">
        <f t="shared" ca="1" si="49"/>
        <v>0.73</v>
      </c>
      <c r="C719" s="6">
        <f t="shared" ca="1" si="50"/>
        <v>-63922.043576258453</v>
      </c>
      <c r="F719">
        <f t="shared" si="52"/>
        <v>628</v>
      </c>
      <c r="G719">
        <f t="shared" ca="1" si="51"/>
        <v>0.86599999999999999</v>
      </c>
    </row>
    <row r="720" spans="1:7">
      <c r="A720">
        <f t="shared" si="48"/>
        <v>625</v>
      </c>
      <c r="B720">
        <f t="shared" ca="1" si="49"/>
        <v>0.55000000000000004</v>
      </c>
      <c r="C720" s="6">
        <f t="shared" ca="1" si="50"/>
        <v>-63922.043576258453</v>
      </c>
      <c r="F720">
        <f t="shared" si="52"/>
        <v>629</v>
      </c>
      <c r="G720">
        <f t="shared" ca="1" si="51"/>
        <v>0.78700000000000003</v>
      </c>
    </row>
    <row r="721" spans="1:7">
      <c r="A721">
        <f t="shared" si="48"/>
        <v>626</v>
      </c>
      <c r="B721">
        <f t="shared" ca="1" si="49"/>
        <v>0.77</v>
      </c>
      <c r="C721" s="6">
        <f t="shared" ca="1" si="50"/>
        <v>-63922.043576258453</v>
      </c>
      <c r="F721">
        <f t="shared" si="52"/>
        <v>630</v>
      </c>
      <c r="G721">
        <f t="shared" ca="1" si="51"/>
        <v>0.44400000000000001</v>
      </c>
    </row>
    <row r="722" spans="1:7">
      <c r="A722">
        <f t="shared" si="48"/>
        <v>627</v>
      </c>
      <c r="B722">
        <f t="shared" ca="1" si="49"/>
        <v>0.95</v>
      </c>
      <c r="C722" s="6">
        <f t="shared" ca="1" si="50"/>
        <v>-63922.043576258453</v>
      </c>
      <c r="F722">
        <f t="shared" si="52"/>
        <v>631</v>
      </c>
      <c r="G722">
        <f t="shared" ca="1" si="51"/>
        <v>0.90500000000000003</v>
      </c>
    </row>
    <row r="723" spans="1:7">
      <c r="A723">
        <f t="shared" si="48"/>
        <v>628</v>
      </c>
      <c r="B723">
        <f t="shared" ca="1" si="49"/>
        <v>0.81</v>
      </c>
      <c r="C723" s="6">
        <f t="shared" ca="1" si="50"/>
        <v>-63922.043576258453</v>
      </c>
      <c r="F723">
        <f t="shared" si="52"/>
        <v>632</v>
      </c>
      <c r="G723">
        <f t="shared" ca="1" si="51"/>
        <v>0.95399999999999996</v>
      </c>
    </row>
    <row r="724" spans="1:7">
      <c r="A724">
        <f t="shared" si="48"/>
        <v>629</v>
      </c>
      <c r="B724">
        <f t="shared" ca="1" si="49"/>
        <v>0.71</v>
      </c>
      <c r="C724" s="6">
        <f t="shared" ca="1" si="50"/>
        <v>-63922.043576258453</v>
      </c>
      <c r="F724">
        <f t="shared" si="52"/>
        <v>633</v>
      </c>
      <c r="G724">
        <f t="shared" ca="1" si="51"/>
        <v>0.61699999999999999</v>
      </c>
    </row>
    <row r="725" spans="1:7">
      <c r="A725">
        <f t="shared" si="48"/>
        <v>630</v>
      </c>
      <c r="B725">
        <f t="shared" ca="1" si="49"/>
        <v>0.86</v>
      </c>
      <c r="C725" s="6">
        <f t="shared" ca="1" si="50"/>
        <v>-63922.043576258453</v>
      </c>
      <c r="F725">
        <f t="shared" si="52"/>
        <v>634</v>
      </c>
      <c r="G725">
        <f t="shared" ca="1" si="51"/>
        <v>0.73499999999999999</v>
      </c>
    </row>
    <row r="726" spans="1:7">
      <c r="A726">
        <f t="shared" si="48"/>
        <v>631</v>
      </c>
      <c r="B726">
        <f t="shared" ca="1" si="49"/>
        <v>0.43</v>
      </c>
      <c r="C726" s="6">
        <f t="shared" ca="1" si="50"/>
        <v>-63922.043576258453</v>
      </c>
      <c r="F726">
        <f t="shared" si="52"/>
        <v>635</v>
      </c>
      <c r="G726">
        <f t="shared" ca="1" si="51"/>
        <v>0.97699999999999998</v>
      </c>
    </row>
    <row r="727" spans="1:7">
      <c r="A727">
        <f t="shared" si="48"/>
        <v>632</v>
      </c>
      <c r="B727">
        <f t="shared" ca="1" si="49"/>
        <v>0.94</v>
      </c>
      <c r="C727" s="6">
        <f t="shared" ca="1" si="50"/>
        <v>-63922.043576258453</v>
      </c>
      <c r="F727">
        <f t="shared" si="52"/>
        <v>636</v>
      </c>
      <c r="G727">
        <f t="shared" ca="1" si="51"/>
        <v>0.89300000000000002</v>
      </c>
    </row>
    <row r="728" spans="1:7">
      <c r="A728">
        <f t="shared" si="48"/>
        <v>633</v>
      </c>
      <c r="B728">
        <f t="shared" ca="1" si="49"/>
        <v>0.76</v>
      </c>
      <c r="C728" s="6">
        <f t="shared" ca="1" si="50"/>
        <v>-63922.043576258453</v>
      </c>
      <c r="F728">
        <f t="shared" si="52"/>
        <v>637</v>
      </c>
      <c r="G728">
        <f t="shared" ca="1" si="51"/>
        <v>0.89100000000000001</v>
      </c>
    </row>
    <row r="729" spans="1:7">
      <c r="A729">
        <f t="shared" si="48"/>
        <v>634</v>
      </c>
      <c r="B729">
        <f t="shared" ca="1" si="49"/>
        <v>0.98</v>
      </c>
      <c r="C729" s="6">
        <f t="shared" ca="1" si="50"/>
        <v>-63922.043576258453</v>
      </c>
      <c r="F729">
        <f t="shared" si="52"/>
        <v>638</v>
      </c>
      <c r="G729">
        <f t="shared" ca="1" si="51"/>
        <v>0.59099999999999997</v>
      </c>
    </row>
    <row r="730" spans="1:7">
      <c r="A730">
        <f t="shared" si="48"/>
        <v>635</v>
      </c>
      <c r="B730">
        <f t="shared" ca="1" si="49"/>
        <v>0.49</v>
      </c>
      <c r="C730" s="6">
        <f t="shared" ca="1" si="50"/>
        <v>-63922.043576258453</v>
      </c>
      <c r="F730">
        <f t="shared" si="52"/>
        <v>639</v>
      </c>
      <c r="G730">
        <f t="shared" ca="1" si="51"/>
        <v>0.52</v>
      </c>
    </row>
    <row r="731" spans="1:7">
      <c r="A731">
        <f t="shared" ref="A731:A794" si="53">ROW()-95</f>
        <v>636</v>
      </c>
      <c r="B731">
        <f t="shared" ref="B731:B794" ca="1" si="54">RANDBETWEEN(40,100)/100</f>
        <v>0.52</v>
      </c>
      <c r="C731" s="6">
        <f t="shared" ref="C731:C794" ca="1" si="55">$B$71 + 0*B731</f>
        <v>-63922.043576258453</v>
      </c>
      <c r="F731">
        <f t="shared" si="52"/>
        <v>640</v>
      </c>
      <c r="G731">
        <f t="shared" ca="1" si="51"/>
        <v>0.875</v>
      </c>
    </row>
    <row r="732" spans="1:7">
      <c r="A732">
        <f t="shared" si="53"/>
        <v>637</v>
      </c>
      <c r="B732">
        <f t="shared" ca="1" si="54"/>
        <v>0.49</v>
      </c>
      <c r="C732" s="6">
        <f t="shared" ca="1" si="55"/>
        <v>-63922.043576258453</v>
      </c>
      <c r="F732">
        <f t="shared" si="52"/>
        <v>641</v>
      </c>
      <c r="G732">
        <f t="shared" ca="1" si="51"/>
        <v>0.81100000000000005</v>
      </c>
    </row>
    <row r="733" spans="1:7">
      <c r="A733">
        <f t="shared" si="53"/>
        <v>638</v>
      </c>
      <c r="B733">
        <f t="shared" ca="1" si="54"/>
        <v>0.71</v>
      </c>
      <c r="C733" s="6">
        <f t="shared" ca="1" si="55"/>
        <v>-63922.043576258453</v>
      </c>
      <c r="F733">
        <f t="shared" si="52"/>
        <v>642</v>
      </c>
      <c r="G733">
        <f t="shared" ref="G733:G796" ca="1" si="56">ROUND(RAND()*(1-0.4)+0.4,3)</f>
        <v>0.98399999999999999</v>
      </c>
    </row>
    <row r="734" spans="1:7">
      <c r="A734">
        <f t="shared" si="53"/>
        <v>639</v>
      </c>
      <c r="B734">
        <f t="shared" ca="1" si="54"/>
        <v>0.46</v>
      </c>
      <c r="C734" s="6">
        <f t="shared" ca="1" si="55"/>
        <v>-63922.043576258453</v>
      </c>
      <c r="F734">
        <f t="shared" ref="F734:F797" si="57">F733+1</f>
        <v>643</v>
      </c>
      <c r="G734">
        <f t="shared" ca="1" si="56"/>
        <v>0.58799999999999997</v>
      </c>
    </row>
    <row r="735" spans="1:7">
      <c r="A735">
        <f t="shared" si="53"/>
        <v>640</v>
      </c>
      <c r="B735">
        <f t="shared" ca="1" si="54"/>
        <v>0.68</v>
      </c>
      <c r="C735" s="6">
        <f t="shared" ca="1" si="55"/>
        <v>-63922.043576258453</v>
      </c>
      <c r="F735">
        <f t="shared" si="57"/>
        <v>644</v>
      </c>
      <c r="G735">
        <f t="shared" ca="1" si="56"/>
        <v>0.95699999999999996</v>
      </c>
    </row>
    <row r="736" spans="1:7">
      <c r="A736">
        <f t="shared" si="53"/>
        <v>641</v>
      </c>
      <c r="B736">
        <f t="shared" ca="1" si="54"/>
        <v>0.52</v>
      </c>
      <c r="C736" s="6">
        <f t="shared" ca="1" si="55"/>
        <v>-63922.043576258453</v>
      </c>
      <c r="F736">
        <f t="shared" si="57"/>
        <v>645</v>
      </c>
      <c r="G736">
        <f t="shared" ca="1" si="56"/>
        <v>0.61699999999999999</v>
      </c>
    </row>
    <row r="737" spans="1:7">
      <c r="A737">
        <f t="shared" si="53"/>
        <v>642</v>
      </c>
      <c r="B737">
        <f t="shared" ca="1" si="54"/>
        <v>0.7</v>
      </c>
      <c r="C737" s="6">
        <f t="shared" ca="1" si="55"/>
        <v>-63922.043576258453</v>
      </c>
      <c r="F737">
        <f t="shared" si="57"/>
        <v>646</v>
      </c>
      <c r="G737">
        <f t="shared" ca="1" si="56"/>
        <v>0.43099999999999999</v>
      </c>
    </row>
    <row r="738" spans="1:7">
      <c r="A738">
        <f t="shared" si="53"/>
        <v>643</v>
      </c>
      <c r="B738">
        <f t="shared" ca="1" si="54"/>
        <v>0.53</v>
      </c>
      <c r="C738" s="6">
        <f t="shared" ca="1" si="55"/>
        <v>-63922.043576258453</v>
      </c>
      <c r="F738">
        <f t="shared" si="57"/>
        <v>647</v>
      </c>
      <c r="G738">
        <f t="shared" ca="1" si="56"/>
        <v>0.54400000000000004</v>
      </c>
    </row>
    <row r="739" spans="1:7">
      <c r="A739">
        <f t="shared" si="53"/>
        <v>644</v>
      </c>
      <c r="B739">
        <f t="shared" ca="1" si="54"/>
        <v>0.4</v>
      </c>
      <c r="C739" s="6">
        <f t="shared" ca="1" si="55"/>
        <v>-63922.043576258453</v>
      </c>
      <c r="F739">
        <f t="shared" si="57"/>
        <v>648</v>
      </c>
      <c r="G739">
        <f t="shared" ca="1" si="56"/>
        <v>0.43099999999999999</v>
      </c>
    </row>
    <row r="740" spans="1:7">
      <c r="A740">
        <f t="shared" si="53"/>
        <v>645</v>
      </c>
      <c r="B740">
        <f t="shared" ca="1" si="54"/>
        <v>0.72</v>
      </c>
      <c r="C740" s="6">
        <f t="shared" ca="1" si="55"/>
        <v>-63922.043576258453</v>
      </c>
      <c r="F740">
        <f t="shared" si="57"/>
        <v>649</v>
      </c>
      <c r="G740">
        <f t="shared" ca="1" si="56"/>
        <v>0.65500000000000003</v>
      </c>
    </row>
    <row r="741" spans="1:7">
      <c r="A741">
        <f t="shared" si="53"/>
        <v>646</v>
      </c>
      <c r="B741">
        <f t="shared" ca="1" si="54"/>
        <v>0.93</v>
      </c>
      <c r="C741" s="6">
        <f t="shared" ca="1" si="55"/>
        <v>-63922.043576258453</v>
      </c>
      <c r="F741">
        <f t="shared" si="57"/>
        <v>650</v>
      </c>
      <c r="G741">
        <f t="shared" ca="1" si="56"/>
        <v>0.84399999999999997</v>
      </c>
    </row>
    <row r="742" spans="1:7">
      <c r="A742">
        <f t="shared" si="53"/>
        <v>647</v>
      </c>
      <c r="B742">
        <f t="shared" ca="1" si="54"/>
        <v>0.56999999999999995</v>
      </c>
      <c r="C742" s="6">
        <f t="shared" ca="1" si="55"/>
        <v>-63922.043576258453</v>
      </c>
      <c r="F742">
        <f t="shared" si="57"/>
        <v>651</v>
      </c>
      <c r="G742">
        <f t="shared" ca="1" si="56"/>
        <v>0.55300000000000005</v>
      </c>
    </row>
    <row r="743" spans="1:7">
      <c r="A743">
        <f t="shared" si="53"/>
        <v>648</v>
      </c>
      <c r="B743">
        <f t="shared" ca="1" si="54"/>
        <v>0.51</v>
      </c>
      <c r="C743" s="6">
        <f t="shared" ca="1" si="55"/>
        <v>-63922.043576258453</v>
      </c>
      <c r="F743">
        <f t="shared" si="57"/>
        <v>652</v>
      </c>
      <c r="G743">
        <f t="shared" ca="1" si="56"/>
        <v>0.59199999999999997</v>
      </c>
    </row>
    <row r="744" spans="1:7">
      <c r="A744">
        <f t="shared" si="53"/>
        <v>649</v>
      </c>
      <c r="B744">
        <f t="shared" ca="1" si="54"/>
        <v>0.47</v>
      </c>
      <c r="C744" s="6">
        <f t="shared" ca="1" si="55"/>
        <v>-63922.043576258453</v>
      </c>
      <c r="F744">
        <f t="shared" si="57"/>
        <v>653</v>
      </c>
      <c r="G744">
        <f t="shared" ca="1" si="56"/>
        <v>0.64500000000000002</v>
      </c>
    </row>
    <row r="745" spans="1:7">
      <c r="A745">
        <f t="shared" si="53"/>
        <v>650</v>
      </c>
      <c r="B745">
        <f t="shared" ca="1" si="54"/>
        <v>0.95</v>
      </c>
      <c r="C745" s="6">
        <f t="shared" ca="1" si="55"/>
        <v>-63922.043576258453</v>
      </c>
      <c r="F745">
        <f t="shared" si="57"/>
        <v>654</v>
      </c>
      <c r="G745">
        <f t="shared" ca="1" si="56"/>
        <v>0.95399999999999996</v>
      </c>
    </row>
    <row r="746" spans="1:7">
      <c r="A746">
        <f t="shared" si="53"/>
        <v>651</v>
      </c>
      <c r="B746">
        <f t="shared" ca="1" si="54"/>
        <v>0.55000000000000004</v>
      </c>
      <c r="C746" s="6">
        <f t="shared" ca="1" si="55"/>
        <v>-63922.043576258453</v>
      </c>
      <c r="F746">
        <f t="shared" si="57"/>
        <v>655</v>
      </c>
      <c r="G746">
        <f t="shared" ca="1" si="56"/>
        <v>0.52100000000000002</v>
      </c>
    </row>
    <row r="747" spans="1:7">
      <c r="A747">
        <f t="shared" si="53"/>
        <v>652</v>
      </c>
      <c r="B747">
        <f t="shared" ca="1" si="54"/>
        <v>0.78</v>
      </c>
      <c r="C747" s="6">
        <f t="shared" ca="1" si="55"/>
        <v>-63922.043576258453</v>
      </c>
      <c r="F747">
        <f t="shared" si="57"/>
        <v>656</v>
      </c>
      <c r="G747">
        <f t="shared" ca="1" si="56"/>
        <v>0.44400000000000001</v>
      </c>
    </row>
    <row r="748" spans="1:7">
      <c r="A748">
        <f t="shared" si="53"/>
        <v>653</v>
      </c>
      <c r="B748">
        <f t="shared" ca="1" si="54"/>
        <v>0.64</v>
      </c>
      <c r="C748" s="6">
        <f t="shared" ca="1" si="55"/>
        <v>-63922.043576258453</v>
      </c>
      <c r="F748">
        <f t="shared" si="57"/>
        <v>657</v>
      </c>
      <c r="G748">
        <f t="shared" ca="1" si="56"/>
        <v>0.93200000000000005</v>
      </c>
    </row>
    <row r="749" spans="1:7">
      <c r="A749">
        <f t="shared" si="53"/>
        <v>654</v>
      </c>
      <c r="B749">
        <f t="shared" ca="1" si="54"/>
        <v>0.55000000000000004</v>
      </c>
      <c r="C749" s="6">
        <f t="shared" ca="1" si="55"/>
        <v>-63922.043576258453</v>
      </c>
      <c r="F749">
        <f t="shared" si="57"/>
        <v>658</v>
      </c>
      <c r="G749">
        <f t="shared" ca="1" si="56"/>
        <v>0.437</v>
      </c>
    </row>
    <row r="750" spans="1:7">
      <c r="A750">
        <f t="shared" si="53"/>
        <v>655</v>
      </c>
      <c r="B750">
        <f t="shared" ca="1" si="54"/>
        <v>0.67</v>
      </c>
      <c r="C750" s="6">
        <f t="shared" ca="1" si="55"/>
        <v>-63922.043576258453</v>
      </c>
      <c r="F750">
        <f t="shared" si="57"/>
        <v>659</v>
      </c>
      <c r="G750">
        <f t="shared" ca="1" si="56"/>
        <v>0.74399999999999999</v>
      </c>
    </row>
    <row r="751" spans="1:7">
      <c r="A751">
        <f t="shared" si="53"/>
        <v>656</v>
      </c>
      <c r="B751">
        <f t="shared" ca="1" si="54"/>
        <v>0.82</v>
      </c>
      <c r="C751" s="6">
        <f t="shared" ca="1" si="55"/>
        <v>-63922.043576258453</v>
      </c>
      <c r="F751">
        <f t="shared" si="57"/>
        <v>660</v>
      </c>
      <c r="G751">
        <f t="shared" ca="1" si="56"/>
        <v>0.53500000000000003</v>
      </c>
    </row>
    <row r="752" spans="1:7">
      <c r="A752">
        <f t="shared" si="53"/>
        <v>657</v>
      </c>
      <c r="B752">
        <f t="shared" ca="1" si="54"/>
        <v>0.46</v>
      </c>
      <c r="C752" s="6">
        <f t="shared" ca="1" si="55"/>
        <v>-63922.043576258453</v>
      </c>
      <c r="F752">
        <f t="shared" si="57"/>
        <v>661</v>
      </c>
      <c r="G752">
        <f t="shared" ca="1" si="56"/>
        <v>0.80800000000000005</v>
      </c>
    </row>
    <row r="753" spans="1:7">
      <c r="A753">
        <f t="shared" si="53"/>
        <v>658</v>
      </c>
      <c r="B753">
        <f t="shared" ca="1" si="54"/>
        <v>0.84</v>
      </c>
      <c r="C753" s="6">
        <f t="shared" ca="1" si="55"/>
        <v>-63922.043576258453</v>
      </c>
      <c r="F753">
        <f t="shared" si="57"/>
        <v>662</v>
      </c>
      <c r="G753">
        <f t="shared" ca="1" si="56"/>
        <v>0.58599999999999997</v>
      </c>
    </row>
    <row r="754" spans="1:7">
      <c r="A754">
        <f t="shared" si="53"/>
        <v>659</v>
      </c>
      <c r="B754">
        <f t="shared" ca="1" si="54"/>
        <v>0.4</v>
      </c>
      <c r="C754" s="6">
        <f t="shared" ca="1" si="55"/>
        <v>-63922.043576258453</v>
      </c>
      <c r="F754">
        <f t="shared" si="57"/>
        <v>663</v>
      </c>
      <c r="G754">
        <f t="shared" ca="1" si="56"/>
        <v>0.56899999999999995</v>
      </c>
    </row>
    <row r="755" spans="1:7">
      <c r="A755">
        <f t="shared" si="53"/>
        <v>660</v>
      </c>
      <c r="B755">
        <f t="shared" ca="1" si="54"/>
        <v>0.96</v>
      </c>
      <c r="C755" s="6">
        <f t="shared" ca="1" si="55"/>
        <v>-63922.043576258453</v>
      </c>
      <c r="F755">
        <f t="shared" si="57"/>
        <v>664</v>
      </c>
      <c r="G755">
        <f t="shared" ca="1" si="56"/>
        <v>0.501</v>
      </c>
    </row>
    <row r="756" spans="1:7">
      <c r="A756">
        <f t="shared" si="53"/>
        <v>661</v>
      </c>
      <c r="B756">
        <f t="shared" ca="1" si="54"/>
        <v>0.75</v>
      </c>
      <c r="C756" s="6">
        <f t="shared" ca="1" si="55"/>
        <v>-63922.043576258453</v>
      </c>
      <c r="F756">
        <f t="shared" si="57"/>
        <v>665</v>
      </c>
      <c r="G756">
        <f t="shared" ca="1" si="56"/>
        <v>0.40600000000000003</v>
      </c>
    </row>
    <row r="757" spans="1:7">
      <c r="A757">
        <f t="shared" si="53"/>
        <v>662</v>
      </c>
      <c r="B757">
        <f t="shared" ca="1" si="54"/>
        <v>0.41</v>
      </c>
      <c r="C757" s="6">
        <f t="shared" ca="1" si="55"/>
        <v>-63922.043576258453</v>
      </c>
      <c r="F757">
        <f t="shared" si="57"/>
        <v>666</v>
      </c>
      <c r="G757">
        <f t="shared" ca="1" si="56"/>
        <v>0.51</v>
      </c>
    </row>
    <row r="758" spans="1:7">
      <c r="A758">
        <f t="shared" si="53"/>
        <v>663</v>
      </c>
      <c r="B758">
        <f t="shared" ca="1" si="54"/>
        <v>0.56000000000000005</v>
      </c>
      <c r="C758" s="6">
        <f t="shared" ca="1" si="55"/>
        <v>-63922.043576258453</v>
      </c>
      <c r="F758">
        <f t="shared" si="57"/>
        <v>667</v>
      </c>
      <c r="G758">
        <f t="shared" ca="1" si="56"/>
        <v>0.93300000000000005</v>
      </c>
    </row>
    <row r="759" spans="1:7">
      <c r="A759">
        <f t="shared" si="53"/>
        <v>664</v>
      </c>
      <c r="B759">
        <f t="shared" ca="1" si="54"/>
        <v>0.54</v>
      </c>
      <c r="C759" s="6">
        <f t="shared" ca="1" si="55"/>
        <v>-63922.043576258453</v>
      </c>
      <c r="F759">
        <f t="shared" si="57"/>
        <v>668</v>
      </c>
      <c r="G759">
        <f t="shared" ca="1" si="56"/>
        <v>0.65900000000000003</v>
      </c>
    </row>
    <row r="760" spans="1:7">
      <c r="A760">
        <f t="shared" si="53"/>
        <v>665</v>
      </c>
      <c r="B760">
        <f t="shared" ca="1" si="54"/>
        <v>0.45</v>
      </c>
      <c r="C760" s="6">
        <f t="shared" ca="1" si="55"/>
        <v>-63922.043576258453</v>
      </c>
      <c r="F760">
        <f t="shared" si="57"/>
        <v>669</v>
      </c>
      <c r="G760">
        <f t="shared" ca="1" si="56"/>
        <v>0.69599999999999995</v>
      </c>
    </row>
    <row r="761" spans="1:7">
      <c r="A761">
        <f t="shared" si="53"/>
        <v>666</v>
      </c>
      <c r="B761">
        <f t="shared" ca="1" si="54"/>
        <v>0.95</v>
      </c>
      <c r="C761" s="6">
        <f t="shared" ca="1" si="55"/>
        <v>-63922.043576258453</v>
      </c>
      <c r="F761">
        <f t="shared" si="57"/>
        <v>670</v>
      </c>
      <c r="G761">
        <f t="shared" ca="1" si="56"/>
        <v>0.53600000000000003</v>
      </c>
    </row>
    <row r="762" spans="1:7">
      <c r="A762">
        <f t="shared" si="53"/>
        <v>667</v>
      </c>
      <c r="B762">
        <f t="shared" ca="1" si="54"/>
        <v>0.82</v>
      </c>
      <c r="C762" s="6">
        <f t="shared" ca="1" si="55"/>
        <v>-63922.043576258453</v>
      </c>
      <c r="F762">
        <f t="shared" si="57"/>
        <v>671</v>
      </c>
      <c r="G762">
        <f t="shared" ca="1" si="56"/>
        <v>0.59399999999999997</v>
      </c>
    </row>
    <row r="763" spans="1:7">
      <c r="A763">
        <f t="shared" si="53"/>
        <v>668</v>
      </c>
      <c r="B763">
        <f t="shared" ca="1" si="54"/>
        <v>0.5</v>
      </c>
      <c r="C763" s="6">
        <f t="shared" ca="1" si="55"/>
        <v>-63922.043576258453</v>
      </c>
      <c r="F763">
        <f t="shared" si="57"/>
        <v>672</v>
      </c>
      <c r="G763">
        <f t="shared" ca="1" si="56"/>
        <v>0.97599999999999998</v>
      </c>
    </row>
    <row r="764" spans="1:7">
      <c r="A764">
        <f t="shared" si="53"/>
        <v>669</v>
      </c>
      <c r="B764">
        <f t="shared" ca="1" si="54"/>
        <v>0.69</v>
      </c>
      <c r="C764" s="6">
        <f t="shared" ca="1" si="55"/>
        <v>-63922.043576258453</v>
      </c>
      <c r="F764">
        <f t="shared" si="57"/>
        <v>673</v>
      </c>
      <c r="G764">
        <f t="shared" ca="1" si="56"/>
        <v>0.42399999999999999</v>
      </c>
    </row>
    <row r="765" spans="1:7">
      <c r="A765">
        <f t="shared" si="53"/>
        <v>670</v>
      </c>
      <c r="B765">
        <f t="shared" ca="1" si="54"/>
        <v>1</v>
      </c>
      <c r="C765" s="6">
        <f t="shared" ca="1" si="55"/>
        <v>-63922.043576258453</v>
      </c>
      <c r="F765">
        <f t="shared" si="57"/>
        <v>674</v>
      </c>
      <c r="G765">
        <f t="shared" ca="1" si="56"/>
        <v>0.78300000000000003</v>
      </c>
    </row>
    <row r="766" spans="1:7">
      <c r="A766">
        <f t="shared" si="53"/>
        <v>671</v>
      </c>
      <c r="B766">
        <f t="shared" ca="1" si="54"/>
        <v>0.99</v>
      </c>
      <c r="C766" s="6">
        <f t="shared" ca="1" si="55"/>
        <v>-63922.043576258453</v>
      </c>
      <c r="F766">
        <f t="shared" si="57"/>
        <v>675</v>
      </c>
      <c r="G766">
        <f t="shared" ca="1" si="56"/>
        <v>0.871</v>
      </c>
    </row>
    <row r="767" spans="1:7">
      <c r="A767">
        <f t="shared" si="53"/>
        <v>672</v>
      </c>
      <c r="B767">
        <f t="shared" ca="1" si="54"/>
        <v>0.78</v>
      </c>
      <c r="C767" s="6">
        <f t="shared" ca="1" si="55"/>
        <v>-63922.043576258453</v>
      </c>
      <c r="F767">
        <f t="shared" si="57"/>
        <v>676</v>
      </c>
      <c r="G767">
        <f t="shared" ca="1" si="56"/>
        <v>0.83</v>
      </c>
    </row>
    <row r="768" spans="1:7">
      <c r="A768">
        <f t="shared" si="53"/>
        <v>673</v>
      </c>
      <c r="B768">
        <f t="shared" ca="1" si="54"/>
        <v>0.91</v>
      </c>
      <c r="C768" s="6">
        <f t="shared" ca="1" si="55"/>
        <v>-63922.043576258453</v>
      </c>
      <c r="F768">
        <f t="shared" si="57"/>
        <v>677</v>
      </c>
      <c r="G768">
        <f t="shared" ca="1" si="56"/>
        <v>0.96199999999999997</v>
      </c>
    </row>
    <row r="769" spans="1:7">
      <c r="A769">
        <f t="shared" si="53"/>
        <v>674</v>
      </c>
      <c r="B769">
        <f t="shared" ca="1" si="54"/>
        <v>0.49</v>
      </c>
      <c r="C769" s="6">
        <f t="shared" ca="1" si="55"/>
        <v>-63922.043576258453</v>
      </c>
      <c r="F769">
        <f t="shared" si="57"/>
        <v>678</v>
      </c>
      <c r="G769">
        <f t="shared" ca="1" si="56"/>
        <v>0.85799999999999998</v>
      </c>
    </row>
    <row r="770" spans="1:7">
      <c r="A770">
        <f t="shared" si="53"/>
        <v>675</v>
      </c>
      <c r="B770">
        <f t="shared" ca="1" si="54"/>
        <v>0.91</v>
      </c>
      <c r="C770" s="6">
        <f t="shared" ca="1" si="55"/>
        <v>-63922.043576258453</v>
      </c>
      <c r="F770">
        <f t="shared" si="57"/>
        <v>679</v>
      </c>
      <c r="G770">
        <f t="shared" ca="1" si="56"/>
        <v>0.84199999999999997</v>
      </c>
    </row>
    <row r="771" spans="1:7">
      <c r="A771">
        <f t="shared" si="53"/>
        <v>676</v>
      </c>
      <c r="B771">
        <f t="shared" ca="1" si="54"/>
        <v>0.66</v>
      </c>
      <c r="C771" s="6">
        <f t="shared" ca="1" si="55"/>
        <v>-63922.043576258453</v>
      </c>
      <c r="F771">
        <f t="shared" si="57"/>
        <v>680</v>
      </c>
      <c r="G771">
        <f t="shared" ca="1" si="56"/>
        <v>0.70499999999999996</v>
      </c>
    </row>
    <row r="772" spans="1:7">
      <c r="A772">
        <f t="shared" si="53"/>
        <v>677</v>
      </c>
      <c r="B772">
        <f t="shared" ca="1" si="54"/>
        <v>0.62</v>
      </c>
      <c r="C772" s="6">
        <f t="shared" ca="1" si="55"/>
        <v>-63922.043576258453</v>
      </c>
      <c r="F772">
        <f t="shared" si="57"/>
        <v>681</v>
      </c>
      <c r="G772">
        <f t="shared" ca="1" si="56"/>
        <v>0.61699999999999999</v>
      </c>
    </row>
    <row r="773" spans="1:7">
      <c r="A773">
        <f t="shared" si="53"/>
        <v>678</v>
      </c>
      <c r="B773">
        <f t="shared" ca="1" si="54"/>
        <v>0.55000000000000004</v>
      </c>
      <c r="C773" s="6">
        <f t="shared" ca="1" si="55"/>
        <v>-63922.043576258453</v>
      </c>
      <c r="F773">
        <f t="shared" si="57"/>
        <v>682</v>
      </c>
      <c r="G773">
        <f t="shared" ca="1" si="56"/>
        <v>0.79800000000000004</v>
      </c>
    </row>
    <row r="774" spans="1:7">
      <c r="A774">
        <f t="shared" si="53"/>
        <v>679</v>
      </c>
      <c r="B774">
        <f t="shared" ca="1" si="54"/>
        <v>0.43</v>
      </c>
      <c r="C774" s="6">
        <f t="shared" ca="1" si="55"/>
        <v>-63922.043576258453</v>
      </c>
      <c r="F774">
        <f t="shared" si="57"/>
        <v>683</v>
      </c>
      <c r="G774">
        <f t="shared" ca="1" si="56"/>
        <v>0.85</v>
      </c>
    </row>
    <row r="775" spans="1:7">
      <c r="A775">
        <f t="shared" si="53"/>
        <v>680</v>
      </c>
      <c r="B775">
        <f t="shared" ca="1" si="54"/>
        <v>0.74</v>
      </c>
      <c r="C775" s="6">
        <f t="shared" ca="1" si="55"/>
        <v>-63922.043576258453</v>
      </c>
      <c r="F775">
        <f t="shared" si="57"/>
        <v>684</v>
      </c>
      <c r="G775">
        <f t="shared" ca="1" si="56"/>
        <v>0.89100000000000001</v>
      </c>
    </row>
    <row r="776" spans="1:7">
      <c r="A776">
        <f t="shared" si="53"/>
        <v>681</v>
      </c>
      <c r="B776">
        <f t="shared" ca="1" si="54"/>
        <v>0.68</v>
      </c>
      <c r="C776" s="6">
        <f t="shared" ca="1" si="55"/>
        <v>-63922.043576258453</v>
      </c>
      <c r="F776">
        <f t="shared" si="57"/>
        <v>685</v>
      </c>
      <c r="G776">
        <f t="shared" ca="1" si="56"/>
        <v>0.84199999999999997</v>
      </c>
    </row>
    <row r="777" spans="1:7">
      <c r="A777">
        <f t="shared" si="53"/>
        <v>682</v>
      </c>
      <c r="B777">
        <f t="shared" ca="1" si="54"/>
        <v>0.63</v>
      </c>
      <c r="C777" s="6">
        <f t="shared" ca="1" si="55"/>
        <v>-63922.043576258453</v>
      </c>
      <c r="F777">
        <f t="shared" si="57"/>
        <v>686</v>
      </c>
      <c r="G777">
        <f t="shared" ca="1" si="56"/>
        <v>0.751</v>
      </c>
    </row>
    <row r="778" spans="1:7">
      <c r="A778">
        <f t="shared" si="53"/>
        <v>683</v>
      </c>
      <c r="B778">
        <f t="shared" ca="1" si="54"/>
        <v>0.53</v>
      </c>
      <c r="C778" s="6">
        <f t="shared" ca="1" si="55"/>
        <v>-63922.043576258453</v>
      </c>
      <c r="F778">
        <f t="shared" si="57"/>
        <v>687</v>
      </c>
      <c r="G778">
        <f t="shared" ca="1" si="56"/>
        <v>0.625</v>
      </c>
    </row>
    <row r="779" spans="1:7">
      <c r="A779">
        <f t="shared" si="53"/>
        <v>684</v>
      </c>
      <c r="B779">
        <f t="shared" ca="1" si="54"/>
        <v>0.46</v>
      </c>
      <c r="C779" s="6">
        <f t="shared" ca="1" si="55"/>
        <v>-63922.043576258453</v>
      </c>
      <c r="F779">
        <f t="shared" si="57"/>
        <v>688</v>
      </c>
      <c r="G779">
        <f t="shared" ca="1" si="56"/>
        <v>0.48599999999999999</v>
      </c>
    </row>
    <row r="780" spans="1:7">
      <c r="A780">
        <f t="shared" si="53"/>
        <v>685</v>
      </c>
      <c r="B780">
        <f t="shared" ca="1" si="54"/>
        <v>0.72</v>
      </c>
      <c r="C780" s="6">
        <f t="shared" ca="1" si="55"/>
        <v>-63922.043576258453</v>
      </c>
      <c r="F780">
        <f t="shared" si="57"/>
        <v>689</v>
      </c>
      <c r="G780">
        <f t="shared" ca="1" si="56"/>
        <v>0.53</v>
      </c>
    </row>
    <row r="781" spans="1:7">
      <c r="A781">
        <f t="shared" si="53"/>
        <v>686</v>
      </c>
      <c r="B781">
        <f t="shared" ca="1" si="54"/>
        <v>0.77</v>
      </c>
      <c r="C781" s="6">
        <f t="shared" ca="1" si="55"/>
        <v>-63922.043576258453</v>
      </c>
      <c r="F781">
        <f t="shared" si="57"/>
        <v>690</v>
      </c>
      <c r="G781">
        <f t="shared" ca="1" si="56"/>
        <v>0.63400000000000001</v>
      </c>
    </row>
    <row r="782" spans="1:7">
      <c r="A782">
        <f t="shared" si="53"/>
        <v>687</v>
      </c>
      <c r="B782">
        <f t="shared" ca="1" si="54"/>
        <v>0.41</v>
      </c>
      <c r="C782" s="6">
        <f t="shared" ca="1" si="55"/>
        <v>-63922.043576258453</v>
      </c>
      <c r="F782">
        <f t="shared" si="57"/>
        <v>691</v>
      </c>
      <c r="G782">
        <f t="shared" ca="1" si="56"/>
        <v>0.89200000000000002</v>
      </c>
    </row>
    <row r="783" spans="1:7">
      <c r="A783">
        <f t="shared" si="53"/>
        <v>688</v>
      </c>
      <c r="B783">
        <f t="shared" ca="1" si="54"/>
        <v>0.98</v>
      </c>
      <c r="C783" s="6">
        <f t="shared" ca="1" si="55"/>
        <v>-63922.043576258453</v>
      </c>
      <c r="F783">
        <f t="shared" si="57"/>
        <v>692</v>
      </c>
      <c r="G783">
        <f t="shared" ca="1" si="56"/>
        <v>0.96299999999999997</v>
      </c>
    </row>
    <row r="784" spans="1:7">
      <c r="A784">
        <f t="shared" si="53"/>
        <v>689</v>
      </c>
      <c r="B784">
        <f t="shared" ca="1" si="54"/>
        <v>0.86</v>
      </c>
      <c r="C784" s="6">
        <f t="shared" ca="1" si="55"/>
        <v>-63922.043576258453</v>
      </c>
      <c r="F784">
        <f t="shared" si="57"/>
        <v>693</v>
      </c>
      <c r="G784">
        <f t="shared" ca="1" si="56"/>
        <v>0.628</v>
      </c>
    </row>
    <row r="785" spans="1:7">
      <c r="A785">
        <f t="shared" si="53"/>
        <v>690</v>
      </c>
      <c r="B785">
        <f t="shared" ca="1" si="54"/>
        <v>0.73</v>
      </c>
      <c r="C785" s="6">
        <f t="shared" ca="1" si="55"/>
        <v>-63922.043576258453</v>
      </c>
      <c r="F785">
        <f t="shared" si="57"/>
        <v>694</v>
      </c>
      <c r="G785">
        <f t="shared" ca="1" si="56"/>
        <v>0.56200000000000006</v>
      </c>
    </row>
    <row r="786" spans="1:7">
      <c r="A786">
        <f t="shared" si="53"/>
        <v>691</v>
      </c>
      <c r="B786">
        <f t="shared" ca="1" si="54"/>
        <v>0.48</v>
      </c>
      <c r="C786" s="6">
        <f t="shared" ca="1" si="55"/>
        <v>-63922.043576258453</v>
      </c>
      <c r="F786">
        <f t="shared" si="57"/>
        <v>695</v>
      </c>
      <c r="G786">
        <f t="shared" ca="1" si="56"/>
        <v>0.76900000000000002</v>
      </c>
    </row>
    <row r="787" spans="1:7">
      <c r="A787">
        <f t="shared" si="53"/>
        <v>692</v>
      </c>
      <c r="B787">
        <f t="shared" ca="1" si="54"/>
        <v>0.8</v>
      </c>
      <c r="C787" s="6">
        <f t="shared" ca="1" si="55"/>
        <v>-63922.043576258453</v>
      </c>
      <c r="F787">
        <f t="shared" si="57"/>
        <v>696</v>
      </c>
      <c r="G787">
        <f t="shared" ca="1" si="56"/>
        <v>0.90200000000000002</v>
      </c>
    </row>
    <row r="788" spans="1:7">
      <c r="A788">
        <f t="shared" si="53"/>
        <v>693</v>
      </c>
      <c r="B788">
        <f t="shared" ca="1" si="54"/>
        <v>0.69</v>
      </c>
      <c r="C788" s="6">
        <f t="shared" ca="1" si="55"/>
        <v>-63922.043576258453</v>
      </c>
      <c r="F788">
        <f t="shared" si="57"/>
        <v>697</v>
      </c>
      <c r="G788">
        <f t="shared" ca="1" si="56"/>
        <v>0.82</v>
      </c>
    </row>
    <row r="789" spans="1:7">
      <c r="A789">
        <f t="shared" si="53"/>
        <v>694</v>
      </c>
      <c r="B789">
        <f t="shared" ca="1" si="54"/>
        <v>0.69</v>
      </c>
      <c r="C789" s="6">
        <f t="shared" ca="1" si="55"/>
        <v>-63922.043576258453</v>
      </c>
      <c r="F789">
        <f t="shared" si="57"/>
        <v>698</v>
      </c>
      <c r="G789">
        <f t="shared" ca="1" si="56"/>
        <v>0.81699999999999995</v>
      </c>
    </row>
    <row r="790" spans="1:7">
      <c r="A790">
        <f t="shared" si="53"/>
        <v>695</v>
      </c>
      <c r="B790">
        <f t="shared" ca="1" si="54"/>
        <v>0.64</v>
      </c>
      <c r="C790" s="6">
        <f t="shared" ca="1" si="55"/>
        <v>-63922.043576258453</v>
      </c>
      <c r="F790">
        <f t="shared" si="57"/>
        <v>699</v>
      </c>
      <c r="G790">
        <f t="shared" ca="1" si="56"/>
        <v>0.41099999999999998</v>
      </c>
    </row>
    <row r="791" spans="1:7">
      <c r="A791">
        <f t="shared" si="53"/>
        <v>696</v>
      </c>
      <c r="B791">
        <f t="shared" ca="1" si="54"/>
        <v>0.72</v>
      </c>
      <c r="C791" s="6">
        <f t="shared" ca="1" si="55"/>
        <v>-63922.043576258453</v>
      </c>
      <c r="F791">
        <f t="shared" si="57"/>
        <v>700</v>
      </c>
      <c r="G791">
        <f t="shared" ca="1" si="56"/>
        <v>0.46800000000000003</v>
      </c>
    </row>
    <row r="792" spans="1:7">
      <c r="A792">
        <f t="shared" si="53"/>
        <v>697</v>
      </c>
      <c r="B792">
        <f t="shared" ca="1" si="54"/>
        <v>0.64</v>
      </c>
      <c r="C792" s="6">
        <f t="shared" ca="1" si="55"/>
        <v>-63922.043576258453</v>
      </c>
      <c r="F792">
        <f t="shared" si="57"/>
        <v>701</v>
      </c>
      <c r="G792">
        <f t="shared" ca="1" si="56"/>
        <v>0.94799999999999995</v>
      </c>
    </row>
    <row r="793" spans="1:7">
      <c r="A793">
        <f t="shared" si="53"/>
        <v>698</v>
      </c>
      <c r="B793">
        <f t="shared" ca="1" si="54"/>
        <v>0.46</v>
      </c>
      <c r="C793" s="6">
        <f t="shared" ca="1" si="55"/>
        <v>-63922.043576258453</v>
      </c>
      <c r="F793">
        <f t="shared" si="57"/>
        <v>702</v>
      </c>
      <c r="G793">
        <f t="shared" ca="1" si="56"/>
        <v>0.61899999999999999</v>
      </c>
    </row>
    <row r="794" spans="1:7">
      <c r="A794">
        <f t="shared" si="53"/>
        <v>699</v>
      </c>
      <c r="B794">
        <f t="shared" ca="1" si="54"/>
        <v>0.75</v>
      </c>
      <c r="C794" s="6">
        <f t="shared" ca="1" si="55"/>
        <v>-63922.043576258453</v>
      </c>
      <c r="F794">
        <f t="shared" si="57"/>
        <v>703</v>
      </c>
      <c r="G794">
        <f t="shared" ca="1" si="56"/>
        <v>0.76200000000000001</v>
      </c>
    </row>
    <row r="795" spans="1:7">
      <c r="A795">
        <f t="shared" ref="A795:A858" si="58">ROW()-95</f>
        <v>700</v>
      </c>
      <c r="B795">
        <f t="shared" ref="B795:B858" ca="1" si="59">RANDBETWEEN(40,100)/100</f>
        <v>0.69</v>
      </c>
      <c r="C795" s="6">
        <f t="shared" ref="C795:C858" ca="1" si="60">$B$71 + 0*B795</f>
        <v>-63922.043576258453</v>
      </c>
      <c r="F795">
        <f t="shared" si="57"/>
        <v>704</v>
      </c>
      <c r="G795">
        <f t="shared" ca="1" si="56"/>
        <v>0.56200000000000006</v>
      </c>
    </row>
    <row r="796" spans="1:7">
      <c r="A796">
        <f t="shared" si="58"/>
        <v>701</v>
      </c>
      <c r="B796">
        <f t="shared" ca="1" si="59"/>
        <v>0.63</v>
      </c>
      <c r="C796" s="6">
        <f t="shared" ca="1" si="60"/>
        <v>-63922.043576258453</v>
      </c>
      <c r="F796">
        <f t="shared" si="57"/>
        <v>705</v>
      </c>
      <c r="G796">
        <f t="shared" ca="1" si="56"/>
        <v>0.443</v>
      </c>
    </row>
    <row r="797" spans="1:7">
      <c r="A797">
        <f t="shared" si="58"/>
        <v>702</v>
      </c>
      <c r="B797">
        <f t="shared" ca="1" si="59"/>
        <v>0.95</v>
      </c>
      <c r="C797" s="6">
        <f t="shared" ca="1" si="60"/>
        <v>-63922.043576258453</v>
      </c>
      <c r="F797">
        <f t="shared" si="57"/>
        <v>706</v>
      </c>
      <c r="G797">
        <f t="shared" ref="G797:G860" ca="1" si="61">ROUND(RAND()*(1-0.4)+0.4,3)</f>
        <v>0.66</v>
      </c>
    </row>
    <row r="798" spans="1:7">
      <c r="A798">
        <f t="shared" si="58"/>
        <v>703</v>
      </c>
      <c r="B798">
        <f t="shared" ca="1" si="59"/>
        <v>0.65</v>
      </c>
      <c r="C798" s="6">
        <f t="shared" ca="1" si="60"/>
        <v>-63922.043576258453</v>
      </c>
      <c r="F798">
        <f t="shared" ref="F798:F861" si="62">F797+1</f>
        <v>707</v>
      </c>
      <c r="G798">
        <f t="shared" ca="1" si="61"/>
        <v>0.54100000000000004</v>
      </c>
    </row>
    <row r="799" spans="1:7">
      <c r="A799">
        <f t="shared" si="58"/>
        <v>704</v>
      </c>
      <c r="B799">
        <f t="shared" ca="1" si="59"/>
        <v>0.75</v>
      </c>
      <c r="C799" s="6">
        <f t="shared" ca="1" si="60"/>
        <v>-63922.043576258453</v>
      </c>
      <c r="F799">
        <f t="shared" si="62"/>
        <v>708</v>
      </c>
      <c r="G799">
        <f t="shared" ca="1" si="61"/>
        <v>0.56000000000000005</v>
      </c>
    </row>
    <row r="800" spans="1:7">
      <c r="A800">
        <f t="shared" si="58"/>
        <v>705</v>
      </c>
      <c r="B800">
        <f t="shared" ca="1" si="59"/>
        <v>0.85</v>
      </c>
      <c r="C800" s="6">
        <f t="shared" ca="1" si="60"/>
        <v>-63922.043576258453</v>
      </c>
      <c r="F800">
        <f t="shared" si="62"/>
        <v>709</v>
      </c>
      <c r="G800">
        <f t="shared" ca="1" si="61"/>
        <v>0.84299999999999997</v>
      </c>
    </row>
    <row r="801" spans="1:7">
      <c r="A801">
        <f t="shared" si="58"/>
        <v>706</v>
      </c>
      <c r="B801">
        <f t="shared" ca="1" si="59"/>
        <v>0.62</v>
      </c>
      <c r="C801" s="6">
        <f t="shared" ca="1" si="60"/>
        <v>-63922.043576258453</v>
      </c>
      <c r="F801">
        <f t="shared" si="62"/>
        <v>710</v>
      </c>
      <c r="G801">
        <f t="shared" ca="1" si="61"/>
        <v>0.83</v>
      </c>
    </row>
    <row r="802" spans="1:7">
      <c r="A802">
        <f t="shared" si="58"/>
        <v>707</v>
      </c>
      <c r="B802">
        <f t="shared" ca="1" si="59"/>
        <v>0.88</v>
      </c>
      <c r="C802" s="6">
        <f t="shared" ca="1" si="60"/>
        <v>-63922.043576258453</v>
      </c>
      <c r="F802">
        <f t="shared" si="62"/>
        <v>711</v>
      </c>
      <c r="G802">
        <f t="shared" ca="1" si="61"/>
        <v>0.62</v>
      </c>
    </row>
    <row r="803" spans="1:7">
      <c r="A803">
        <f t="shared" si="58"/>
        <v>708</v>
      </c>
      <c r="B803">
        <f t="shared" ca="1" si="59"/>
        <v>0.52</v>
      </c>
      <c r="C803" s="6">
        <f t="shared" ca="1" si="60"/>
        <v>-63922.043576258453</v>
      </c>
      <c r="F803">
        <f t="shared" si="62"/>
        <v>712</v>
      </c>
      <c r="G803">
        <f t="shared" ca="1" si="61"/>
        <v>0.91800000000000004</v>
      </c>
    </row>
    <row r="804" spans="1:7">
      <c r="A804">
        <f t="shared" si="58"/>
        <v>709</v>
      </c>
      <c r="B804">
        <f t="shared" ca="1" si="59"/>
        <v>0.56000000000000005</v>
      </c>
      <c r="C804" s="6">
        <f t="shared" ca="1" si="60"/>
        <v>-63922.043576258453</v>
      </c>
      <c r="F804">
        <f t="shared" si="62"/>
        <v>713</v>
      </c>
      <c r="G804">
        <f t="shared" ca="1" si="61"/>
        <v>0.69399999999999995</v>
      </c>
    </row>
    <row r="805" spans="1:7">
      <c r="A805">
        <f t="shared" si="58"/>
        <v>710</v>
      </c>
      <c r="B805">
        <f t="shared" ca="1" si="59"/>
        <v>0.85</v>
      </c>
      <c r="C805" s="6">
        <f t="shared" ca="1" si="60"/>
        <v>-63922.043576258453</v>
      </c>
      <c r="F805">
        <f t="shared" si="62"/>
        <v>714</v>
      </c>
      <c r="G805">
        <f t="shared" ca="1" si="61"/>
        <v>0.91100000000000003</v>
      </c>
    </row>
    <row r="806" spans="1:7">
      <c r="A806">
        <f t="shared" si="58"/>
        <v>711</v>
      </c>
      <c r="B806">
        <f t="shared" ca="1" si="59"/>
        <v>0.81</v>
      </c>
      <c r="C806" s="6">
        <f t="shared" ca="1" si="60"/>
        <v>-63922.043576258453</v>
      </c>
      <c r="F806">
        <f t="shared" si="62"/>
        <v>715</v>
      </c>
      <c r="G806">
        <f t="shared" ca="1" si="61"/>
        <v>0.97499999999999998</v>
      </c>
    </row>
    <row r="807" spans="1:7">
      <c r="A807">
        <f t="shared" si="58"/>
        <v>712</v>
      </c>
      <c r="B807">
        <f t="shared" ca="1" si="59"/>
        <v>0.67</v>
      </c>
      <c r="C807" s="6">
        <f t="shared" ca="1" si="60"/>
        <v>-63922.043576258453</v>
      </c>
      <c r="F807">
        <f t="shared" si="62"/>
        <v>716</v>
      </c>
      <c r="G807">
        <f t="shared" ca="1" si="61"/>
        <v>0.81799999999999995</v>
      </c>
    </row>
    <row r="808" spans="1:7">
      <c r="A808">
        <f t="shared" si="58"/>
        <v>713</v>
      </c>
      <c r="B808">
        <f t="shared" ca="1" si="59"/>
        <v>0.63</v>
      </c>
      <c r="C808" s="6">
        <f t="shared" ca="1" si="60"/>
        <v>-63922.043576258453</v>
      </c>
      <c r="F808">
        <f t="shared" si="62"/>
        <v>717</v>
      </c>
      <c r="G808">
        <f t="shared" ca="1" si="61"/>
        <v>0.56000000000000005</v>
      </c>
    </row>
    <row r="809" spans="1:7">
      <c r="A809">
        <f t="shared" si="58"/>
        <v>714</v>
      </c>
      <c r="B809">
        <f t="shared" ca="1" si="59"/>
        <v>0.48</v>
      </c>
      <c r="C809" s="6">
        <f t="shared" ca="1" si="60"/>
        <v>-63922.043576258453</v>
      </c>
      <c r="F809">
        <f t="shared" si="62"/>
        <v>718</v>
      </c>
      <c r="G809">
        <f t="shared" ca="1" si="61"/>
        <v>0.755</v>
      </c>
    </row>
    <row r="810" spans="1:7">
      <c r="A810">
        <f t="shared" si="58"/>
        <v>715</v>
      </c>
      <c r="B810">
        <f t="shared" ca="1" si="59"/>
        <v>0.62</v>
      </c>
      <c r="C810" s="6">
        <f t="shared" ca="1" si="60"/>
        <v>-63922.043576258453</v>
      </c>
      <c r="F810">
        <f t="shared" si="62"/>
        <v>719</v>
      </c>
      <c r="G810">
        <f t="shared" ca="1" si="61"/>
        <v>0.91800000000000004</v>
      </c>
    </row>
    <row r="811" spans="1:7">
      <c r="A811">
        <f t="shared" si="58"/>
        <v>716</v>
      </c>
      <c r="B811">
        <f t="shared" ca="1" si="59"/>
        <v>0.72</v>
      </c>
      <c r="C811" s="6">
        <f t="shared" ca="1" si="60"/>
        <v>-63922.043576258453</v>
      </c>
      <c r="F811">
        <f t="shared" si="62"/>
        <v>720</v>
      </c>
      <c r="G811">
        <f t="shared" ca="1" si="61"/>
        <v>0.67300000000000004</v>
      </c>
    </row>
    <row r="812" spans="1:7">
      <c r="A812">
        <f t="shared" si="58"/>
        <v>717</v>
      </c>
      <c r="B812">
        <f t="shared" ca="1" si="59"/>
        <v>0.78</v>
      </c>
      <c r="C812" s="6">
        <f t="shared" ca="1" si="60"/>
        <v>-63922.043576258453</v>
      </c>
      <c r="F812">
        <f t="shared" si="62"/>
        <v>721</v>
      </c>
      <c r="G812">
        <f t="shared" ca="1" si="61"/>
        <v>0.66500000000000004</v>
      </c>
    </row>
    <row r="813" spans="1:7">
      <c r="A813">
        <f t="shared" si="58"/>
        <v>718</v>
      </c>
      <c r="B813">
        <f t="shared" ca="1" si="59"/>
        <v>0.41</v>
      </c>
      <c r="C813" s="6">
        <f t="shared" ca="1" si="60"/>
        <v>-63922.043576258453</v>
      </c>
      <c r="F813">
        <f t="shared" si="62"/>
        <v>722</v>
      </c>
      <c r="G813">
        <f t="shared" ca="1" si="61"/>
        <v>0.46899999999999997</v>
      </c>
    </row>
    <row r="814" spans="1:7">
      <c r="A814">
        <f t="shared" si="58"/>
        <v>719</v>
      </c>
      <c r="B814">
        <f t="shared" ca="1" si="59"/>
        <v>0.99</v>
      </c>
      <c r="C814" s="6">
        <f t="shared" ca="1" si="60"/>
        <v>-63922.043576258453</v>
      </c>
      <c r="F814">
        <f t="shared" si="62"/>
        <v>723</v>
      </c>
      <c r="G814">
        <f t="shared" ca="1" si="61"/>
        <v>0.76500000000000001</v>
      </c>
    </row>
    <row r="815" spans="1:7">
      <c r="A815">
        <f t="shared" si="58"/>
        <v>720</v>
      </c>
      <c r="B815">
        <f t="shared" ca="1" si="59"/>
        <v>0.99</v>
      </c>
      <c r="C815" s="6">
        <f t="shared" ca="1" si="60"/>
        <v>-63922.043576258453</v>
      </c>
      <c r="F815">
        <f t="shared" si="62"/>
        <v>724</v>
      </c>
      <c r="G815">
        <f t="shared" ca="1" si="61"/>
        <v>0.86199999999999999</v>
      </c>
    </row>
    <row r="816" spans="1:7">
      <c r="A816">
        <f t="shared" si="58"/>
        <v>721</v>
      </c>
      <c r="B816">
        <f t="shared" ca="1" si="59"/>
        <v>0.89</v>
      </c>
      <c r="C816" s="6">
        <f t="shared" ca="1" si="60"/>
        <v>-63922.043576258453</v>
      </c>
      <c r="F816">
        <f t="shared" si="62"/>
        <v>725</v>
      </c>
      <c r="G816">
        <f t="shared" ca="1" si="61"/>
        <v>0.78</v>
      </c>
    </row>
    <row r="817" spans="1:7">
      <c r="A817">
        <f t="shared" si="58"/>
        <v>722</v>
      </c>
      <c r="B817">
        <f t="shared" ca="1" si="59"/>
        <v>0.91</v>
      </c>
      <c r="C817" s="6">
        <f t="shared" ca="1" si="60"/>
        <v>-63922.043576258453</v>
      </c>
      <c r="F817">
        <f t="shared" si="62"/>
        <v>726</v>
      </c>
      <c r="G817">
        <f t="shared" ca="1" si="61"/>
        <v>0.76600000000000001</v>
      </c>
    </row>
    <row r="818" spans="1:7">
      <c r="A818">
        <f t="shared" si="58"/>
        <v>723</v>
      </c>
      <c r="B818">
        <f t="shared" ca="1" si="59"/>
        <v>0.78</v>
      </c>
      <c r="C818" s="6">
        <f t="shared" ca="1" si="60"/>
        <v>-63922.043576258453</v>
      </c>
      <c r="F818">
        <f t="shared" si="62"/>
        <v>727</v>
      </c>
      <c r="G818">
        <f t="shared" ca="1" si="61"/>
        <v>0.746</v>
      </c>
    </row>
    <row r="819" spans="1:7">
      <c r="A819">
        <f t="shared" si="58"/>
        <v>724</v>
      </c>
      <c r="B819">
        <f t="shared" ca="1" si="59"/>
        <v>0.95</v>
      </c>
      <c r="C819" s="6">
        <f t="shared" ca="1" si="60"/>
        <v>-63922.043576258453</v>
      </c>
      <c r="F819">
        <f t="shared" si="62"/>
        <v>728</v>
      </c>
      <c r="G819">
        <f t="shared" ca="1" si="61"/>
        <v>0.89800000000000002</v>
      </c>
    </row>
    <row r="820" spans="1:7">
      <c r="A820">
        <f t="shared" si="58"/>
        <v>725</v>
      </c>
      <c r="B820">
        <f t="shared" ca="1" si="59"/>
        <v>0.42</v>
      </c>
      <c r="C820" s="6">
        <f t="shared" ca="1" si="60"/>
        <v>-63922.043576258453</v>
      </c>
      <c r="F820">
        <f t="shared" si="62"/>
        <v>729</v>
      </c>
      <c r="G820">
        <f t="shared" ca="1" si="61"/>
        <v>0.56899999999999995</v>
      </c>
    </row>
    <row r="821" spans="1:7">
      <c r="A821">
        <f t="shared" si="58"/>
        <v>726</v>
      </c>
      <c r="B821">
        <f t="shared" ca="1" si="59"/>
        <v>0.73</v>
      </c>
      <c r="C821" s="6">
        <f t="shared" ca="1" si="60"/>
        <v>-63922.043576258453</v>
      </c>
      <c r="F821">
        <f t="shared" si="62"/>
        <v>730</v>
      </c>
      <c r="G821">
        <f t="shared" ca="1" si="61"/>
        <v>0.49399999999999999</v>
      </c>
    </row>
    <row r="822" spans="1:7">
      <c r="A822">
        <f t="shared" si="58"/>
        <v>727</v>
      </c>
      <c r="B822">
        <f t="shared" ca="1" si="59"/>
        <v>0.6</v>
      </c>
      <c r="C822" s="6">
        <f t="shared" ca="1" si="60"/>
        <v>-63922.043576258453</v>
      </c>
      <c r="F822">
        <f t="shared" si="62"/>
        <v>731</v>
      </c>
      <c r="G822">
        <f t="shared" ca="1" si="61"/>
        <v>0.86599999999999999</v>
      </c>
    </row>
    <row r="823" spans="1:7">
      <c r="A823">
        <f t="shared" si="58"/>
        <v>728</v>
      </c>
      <c r="B823">
        <f t="shared" ca="1" si="59"/>
        <v>0.61</v>
      </c>
      <c r="C823" s="6">
        <f t="shared" ca="1" si="60"/>
        <v>-63922.043576258453</v>
      </c>
      <c r="F823">
        <f t="shared" si="62"/>
        <v>732</v>
      </c>
      <c r="G823">
        <f t="shared" ca="1" si="61"/>
        <v>0.59499999999999997</v>
      </c>
    </row>
    <row r="824" spans="1:7">
      <c r="A824">
        <f t="shared" si="58"/>
        <v>729</v>
      </c>
      <c r="B824">
        <f t="shared" ca="1" si="59"/>
        <v>0.67</v>
      </c>
      <c r="C824" s="6">
        <f t="shared" ca="1" si="60"/>
        <v>-63922.043576258453</v>
      </c>
      <c r="F824">
        <f t="shared" si="62"/>
        <v>733</v>
      </c>
      <c r="G824">
        <f t="shared" ca="1" si="61"/>
        <v>0.749</v>
      </c>
    </row>
    <row r="825" spans="1:7">
      <c r="A825">
        <f t="shared" si="58"/>
        <v>730</v>
      </c>
      <c r="B825">
        <f t="shared" ca="1" si="59"/>
        <v>0.43</v>
      </c>
      <c r="C825" s="6">
        <f t="shared" ca="1" si="60"/>
        <v>-63922.043576258453</v>
      </c>
      <c r="F825">
        <f t="shared" si="62"/>
        <v>734</v>
      </c>
      <c r="G825">
        <f t="shared" ca="1" si="61"/>
        <v>0.48299999999999998</v>
      </c>
    </row>
    <row r="826" spans="1:7">
      <c r="A826">
        <f t="shared" si="58"/>
        <v>731</v>
      </c>
      <c r="B826">
        <f t="shared" ca="1" si="59"/>
        <v>0.98</v>
      </c>
      <c r="C826" s="6">
        <f t="shared" ca="1" si="60"/>
        <v>-63922.043576258453</v>
      </c>
      <c r="F826">
        <f t="shared" si="62"/>
        <v>735</v>
      </c>
      <c r="G826">
        <f t="shared" ca="1" si="61"/>
        <v>0.94099999999999995</v>
      </c>
    </row>
    <row r="827" spans="1:7">
      <c r="A827">
        <f t="shared" si="58"/>
        <v>732</v>
      </c>
      <c r="B827">
        <f t="shared" ca="1" si="59"/>
        <v>0.5</v>
      </c>
      <c r="C827" s="6">
        <f t="shared" ca="1" si="60"/>
        <v>-63922.043576258453</v>
      </c>
      <c r="F827">
        <f t="shared" si="62"/>
        <v>736</v>
      </c>
      <c r="G827">
        <f t="shared" ca="1" si="61"/>
        <v>0.871</v>
      </c>
    </row>
    <row r="828" spans="1:7">
      <c r="A828">
        <f t="shared" si="58"/>
        <v>733</v>
      </c>
      <c r="B828">
        <f t="shared" ca="1" si="59"/>
        <v>0.45</v>
      </c>
      <c r="C828" s="6">
        <f t="shared" ca="1" si="60"/>
        <v>-63922.043576258453</v>
      </c>
      <c r="F828">
        <f t="shared" si="62"/>
        <v>737</v>
      </c>
      <c r="G828">
        <f t="shared" ca="1" si="61"/>
        <v>0.45900000000000002</v>
      </c>
    </row>
    <row r="829" spans="1:7">
      <c r="A829">
        <f t="shared" si="58"/>
        <v>734</v>
      </c>
      <c r="B829">
        <f t="shared" ca="1" si="59"/>
        <v>0.62</v>
      </c>
      <c r="C829" s="6">
        <f t="shared" ca="1" si="60"/>
        <v>-63922.043576258453</v>
      </c>
      <c r="F829">
        <f t="shared" si="62"/>
        <v>738</v>
      </c>
      <c r="G829">
        <f t="shared" ca="1" si="61"/>
        <v>0.80200000000000005</v>
      </c>
    </row>
    <row r="830" spans="1:7">
      <c r="A830">
        <f t="shared" si="58"/>
        <v>735</v>
      </c>
      <c r="B830">
        <f t="shared" ca="1" si="59"/>
        <v>0.66</v>
      </c>
      <c r="C830" s="6">
        <f t="shared" ca="1" si="60"/>
        <v>-63922.043576258453</v>
      </c>
      <c r="F830">
        <f t="shared" si="62"/>
        <v>739</v>
      </c>
      <c r="G830">
        <f t="shared" ca="1" si="61"/>
        <v>0.78900000000000003</v>
      </c>
    </row>
    <row r="831" spans="1:7">
      <c r="A831">
        <f t="shared" si="58"/>
        <v>736</v>
      </c>
      <c r="B831">
        <f t="shared" ca="1" si="59"/>
        <v>1</v>
      </c>
      <c r="C831" s="6">
        <f t="shared" ca="1" si="60"/>
        <v>-63922.043576258453</v>
      </c>
      <c r="F831">
        <f t="shared" si="62"/>
        <v>740</v>
      </c>
      <c r="G831">
        <f t="shared" ca="1" si="61"/>
        <v>0.42699999999999999</v>
      </c>
    </row>
    <row r="832" spans="1:7">
      <c r="A832">
        <f t="shared" si="58"/>
        <v>737</v>
      </c>
      <c r="B832">
        <f t="shared" ca="1" si="59"/>
        <v>0.98</v>
      </c>
      <c r="C832" s="6">
        <f t="shared" ca="1" si="60"/>
        <v>-63922.043576258453</v>
      </c>
      <c r="F832">
        <f t="shared" si="62"/>
        <v>741</v>
      </c>
      <c r="G832">
        <f t="shared" ca="1" si="61"/>
        <v>0.78800000000000003</v>
      </c>
    </row>
    <row r="833" spans="1:7">
      <c r="A833">
        <f t="shared" si="58"/>
        <v>738</v>
      </c>
      <c r="B833">
        <f t="shared" ca="1" si="59"/>
        <v>0.44</v>
      </c>
      <c r="C833" s="6">
        <f t="shared" ca="1" si="60"/>
        <v>-63922.043576258453</v>
      </c>
      <c r="F833">
        <f t="shared" si="62"/>
        <v>742</v>
      </c>
      <c r="G833">
        <f t="shared" ca="1" si="61"/>
        <v>0.62</v>
      </c>
    </row>
    <row r="834" spans="1:7">
      <c r="A834">
        <f t="shared" si="58"/>
        <v>739</v>
      </c>
      <c r="B834">
        <f t="shared" ca="1" si="59"/>
        <v>0.67</v>
      </c>
      <c r="C834" s="6">
        <f t="shared" ca="1" si="60"/>
        <v>-63922.043576258453</v>
      </c>
      <c r="F834">
        <f t="shared" si="62"/>
        <v>743</v>
      </c>
      <c r="G834">
        <f t="shared" ca="1" si="61"/>
        <v>0.92500000000000004</v>
      </c>
    </row>
    <row r="835" spans="1:7">
      <c r="A835">
        <f t="shared" si="58"/>
        <v>740</v>
      </c>
      <c r="B835">
        <f t="shared" ca="1" si="59"/>
        <v>0.95</v>
      </c>
      <c r="C835" s="6">
        <f t="shared" ca="1" si="60"/>
        <v>-63922.043576258453</v>
      </c>
      <c r="F835">
        <f t="shared" si="62"/>
        <v>744</v>
      </c>
      <c r="G835">
        <f t="shared" ca="1" si="61"/>
        <v>0.51900000000000002</v>
      </c>
    </row>
    <row r="836" spans="1:7">
      <c r="A836">
        <f t="shared" si="58"/>
        <v>741</v>
      </c>
      <c r="B836">
        <f t="shared" ca="1" si="59"/>
        <v>0.87</v>
      </c>
      <c r="C836" s="6">
        <f t="shared" ca="1" si="60"/>
        <v>-63922.043576258453</v>
      </c>
      <c r="F836">
        <f t="shared" si="62"/>
        <v>745</v>
      </c>
      <c r="G836">
        <f t="shared" ca="1" si="61"/>
        <v>0.84099999999999997</v>
      </c>
    </row>
    <row r="837" spans="1:7">
      <c r="A837">
        <f t="shared" si="58"/>
        <v>742</v>
      </c>
      <c r="B837">
        <f t="shared" ca="1" si="59"/>
        <v>0.44</v>
      </c>
      <c r="C837" s="6">
        <f t="shared" ca="1" si="60"/>
        <v>-63922.043576258453</v>
      </c>
      <c r="F837">
        <f t="shared" si="62"/>
        <v>746</v>
      </c>
      <c r="G837">
        <f t="shared" ca="1" si="61"/>
        <v>0.75700000000000001</v>
      </c>
    </row>
    <row r="838" spans="1:7">
      <c r="A838">
        <f t="shared" si="58"/>
        <v>743</v>
      </c>
      <c r="B838">
        <f t="shared" ca="1" si="59"/>
        <v>0.79</v>
      </c>
      <c r="C838" s="6">
        <f t="shared" ca="1" si="60"/>
        <v>-63922.043576258453</v>
      </c>
      <c r="F838">
        <f t="shared" si="62"/>
        <v>747</v>
      </c>
      <c r="G838">
        <f t="shared" ca="1" si="61"/>
        <v>0.64500000000000002</v>
      </c>
    </row>
    <row r="839" spans="1:7">
      <c r="A839">
        <f t="shared" si="58"/>
        <v>744</v>
      </c>
      <c r="B839">
        <f t="shared" ca="1" si="59"/>
        <v>0.92</v>
      </c>
      <c r="C839" s="6">
        <f t="shared" ca="1" si="60"/>
        <v>-63922.043576258453</v>
      </c>
      <c r="F839">
        <f t="shared" si="62"/>
        <v>748</v>
      </c>
      <c r="G839">
        <f t="shared" ca="1" si="61"/>
        <v>0.76500000000000001</v>
      </c>
    </row>
    <row r="840" spans="1:7">
      <c r="A840">
        <f t="shared" si="58"/>
        <v>745</v>
      </c>
      <c r="B840">
        <f t="shared" ca="1" si="59"/>
        <v>0.85</v>
      </c>
      <c r="C840" s="6">
        <f t="shared" ca="1" si="60"/>
        <v>-63922.043576258453</v>
      </c>
      <c r="F840">
        <f t="shared" si="62"/>
        <v>749</v>
      </c>
      <c r="G840">
        <f t="shared" ca="1" si="61"/>
        <v>0.70299999999999996</v>
      </c>
    </row>
    <row r="841" spans="1:7">
      <c r="A841">
        <f t="shared" si="58"/>
        <v>746</v>
      </c>
      <c r="B841">
        <f t="shared" ca="1" si="59"/>
        <v>0.91</v>
      </c>
      <c r="C841" s="6">
        <f t="shared" ca="1" si="60"/>
        <v>-63922.043576258453</v>
      </c>
      <c r="F841">
        <f t="shared" si="62"/>
        <v>750</v>
      </c>
      <c r="G841">
        <f t="shared" ca="1" si="61"/>
        <v>0.40699999999999997</v>
      </c>
    </row>
    <row r="842" spans="1:7">
      <c r="A842">
        <f t="shared" si="58"/>
        <v>747</v>
      </c>
      <c r="B842">
        <f t="shared" ca="1" si="59"/>
        <v>0.83</v>
      </c>
      <c r="C842" s="6">
        <f t="shared" ca="1" si="60"/>
        <v>-63922.043576258453</v>
      </c>
      <c r="F842">
        <f t="shared" si="62"/>
        <v>751</v>
      </c>
      <c r="G842">
        <f t="shared" ca="1" si="61"/>
        <v>0.64400000000000002</v>
      </c>
    </row>
    <row r="843" spans="1:7">
      <c r="A843">
        <f t="shared" si="58"/>
        <v>748</v>
      </c>
      <c r="B843">
        <f t="shared" ca="1" si="59"/>
        <v>0.63</v>
      </c>
      <c r="C843" s="6">
        <f t="shared" ca="1" si="60"/>
        <v>-63922.043576258453</v>
      </c>
      <c r="F843">
        <f t="shared" si="62"/>
        <v>752</v>
      </c>
      <c r="G843">
        <f t="shared" ca="1" si="61"/>
        <v>0.42299999999999999</v>
      </c>
    </row>
    <row r="844" spans="1:7">
      <c r="A844">
        <f t="shared" si="58"/>
        <v>749</v>
      </c>
      <c r="B844">
        <f t="shared" ca="1" si="59"/>
        <v>0.51</v>
      </c>
      <c r="C844" s="6">
        <f t="shared" ca="1" si="60"/>
        <v>-63922.043576258453</v>
      </c>
      <c r="F844">
        <f t="shared" si="62"/>
        <v>753</v>
      </c>
      <c r="G844">
        <f t="shared" ca="1" si="61"/>
        <v>0.875</v>
      </c>
    </row>
    <row r="845" spans="1:7">
      <c r="A845">
        <f t="shared" si="58"/>
        <v>750</v>
      </c>
      <c r="B845">
        <f t="shared" ca="1" si="59"/>
        <v>0.79</v>
      </c>
      <c r="C845" s="6">
        <f t="shared" ca="1" si="60"/>
        <v>-63922.043576258453</v>
      </c>
      <c r="F845">
        <f t="shared" si="62"/>
        <v>754</v>
      </c>
      <c r="G845">
        <f t="shared" ca="1" si="61"/>
        <v>0.95399999999999996</v>
      </c>
    </row>
    <row r="846" spans="1:7">
      <c r="A846">
        <f t="shared" si="58"/>
        <v>751</v>
      </c>
      <c r="B846">
        <f t="shared" ca="1" si="59"/>
        <v>0.68</v>
      </c>
      <c r="C846" s="6">
        <f t="shared" ca="1" si="60"/>
        <v>-63922.043576258453</v>
      </c>
      <c r="F846">
        <f t="shared" si="62"/>
        <v>755</v>
      </c>
      <c r="G846">
        <f t="shared" ca="1" si="61"/>
        <v>0.96</v>
      </c>
    </row>
    <row r="847" spans="1:7">
      <c r="A847">
        <f t="shared" si="58"/>
        <v>752</v>
      </c>
      <c r="B847">
        <f t="shared" ca="1" si="59"/>
        <v>0.62</v>
      </c>
      <c r="C847" s="6">
        <f t="shared" ca="1" si="60"/>
        <v>-63922.043576258453</v>
      </c>
      <c r="F847">
        <f t="shared" si="62"/>
        <v>756</v>
      </c>
      <c r="G847">
        <f t="shared" ca="1" si="61"/>
        <v>0.61799999999999999</v>
      </c>
    </row>
    <row r="848" spans="1:7">
      <c r="A848">
        <f t="shared" si="58"/>
        <v>753</v>
      </c>
      <c r="B848">
        <f t="shared" ca="1" si="59"/>
        <v>0.66</v>
      </c>
      <c r="C848" s="6">
        <f t="shared" ca="1" si="60"/>
        <v>-63922.043576258453</v>
      </c>
      <c r="F848">
        <f t="shared" si="62"/>
        <v>757</v>
      </c>
      <c r="G848">
        <f t="shared" ca="1" si="61"/>
        <v>0.40300000000000002</v>
      </c>
    </row>
    <row r="849" spans="1:7">
      <c r="A849">
        <f t="shared" si="58"/>
        <v>754</v>
      </c>
      <c r="B849">
        <f t="shared" ca="1" si="59"/>
        <v>0.67</v>
      </c>
      <c r="C849" s="6">
        <f t="shared" ca="1" si="60"/>
        <v>-63922.043576258453</v>
      </c>
      <c r="F849">
        <f t="shared" si="62"/>
        <v>758</v>
      </c>
      <c r="G849">
        <f t="shared" ca="1" si="61"/>
        <v>0.44900000000000001</v>
      </c>
    </row>
    <row r="850" spans="1:7">
      <c r="A850">
        <f t="shared" si="58"/>
        <v>755</v>
      </c>
      <c r="B850">
        <f t="shared" ca="1" si="59"/>
        <v>0.73</v>
      </c>
      <c r="C850" s="6">
        <f t="shared" ca="1" si="60"/>
        <v>-63922.043576258453</v>
      </c>
      <c r="F850">
        <f t="shared" si="62"/>
        <v>759</v>
      </c>
      <c r="G850">
        <f t="shared" ca="1" si="61"/>
        <v>0.54500000000000004</v>
      </c>
    </row>
    <row r="851" spans="1:7">
      <c r="A851">
        <f t="shared" si="58"/>
        <v>756</v>
      </c>
      <c r="B851">
        <f t="shared" ca="1" si="59"/>
        <v>0.68</v>
      </c>
      <c r="C851" s="6">
        <f t="shared" ca="1" si="60"/>
        <v>-63922.043576258453</v>
      </c>
      <c r="F851">
        <f t="shared" si="62"/>
        <v>760</v>
      </c>
      <c r="G851">
        <f t="shared" ca="1" si="61"/>
        <v>0.97</v>
      </c>
    </row>
    <row r="852" spans="1:7">
      <c r="A852">
        <f t="shared" si="58"/>
        <v>757</v>
      </c>
      <c r="B852">
        <f t="shared" ca="1" si="59"/>
        <v>0.98</v>
      </c>
      <c r="C852" s="6">
        <f t="shared" ca="1" si="60"/>
        <v>-63922.043576258453</v>
      </c>
      <c r="F852">
        <f t="shared" si="62"/>
        <v>761</v>
      </c>
      <c r="G852">
        <f t="shared" ca="1" si="61"/>
        <v>0.45100000000000001</v>
      </c>
    </row>
    <row r="853" spans="1:7">
      <c r="A853">
        <f t="shared" si="58"/>
        <v>758</v>
      </c>
      <c r="B853">
        <f t="shared" ca="1" si="59"/>
        <v>1</v>
      </c>
      <c r="C853" s="6">
        <f t="shared" ca="1" si="60"/>
        <v>-63922.043576258453</v>
      </c>
      <c r="F853">
        <f t="shared" si="62"/>
        <v>762</v>
      </c>
      <c r="G853">
        <f t="shared" ca="1" si="61"/>
        <v>0.65200000000000002</v>
      </c>
    </row>
    <row r="854" spans="1:7">
      <c r="A854">
        <f t="shared" si="58"/>
        <v>759</v>
      </c>
      <c r="B854">
        <f t="shared" ca="1" si="59"/>
        <v>0.55000000000000004</v>
      </c>
      <c r="C854" s="6">
        <f t="shared" ca="1" si="60"/>
        <v>-63922.043576258453</v>
      </c>
      <c r="F854">
        <f t="shared" si="62"/>
        <v>763</v>
      </c>
      <c r="G854">
        <f t="shared" ca="1" si="61"/>
        <v>0.75</v>
      </c>
    </row>
    <row r="855" spans="1:7">
      <c r="A855">
        <f t="shared" si="58"/>
        <v>760</v>
      </c>
      <c r="B855">
        <f t="shared" ca="1" si="59"/>
        <v>0.97</v>
      </c>
      <c r="C855" s="6">
        <f t="shared" ca="1" si="60"/>
        <v>-63922.043576258453</v>
      </c>
      <c r="F855">
        <f t="shared" si="62"/>
        <v>764</v>
      </c>
      <c r="G855">
        <f t="shared" ca="1" si="61"/>
        <v>0.91500000000000004</v>
      </c>
    </row>
    <row r="856" spans="1:7">
      <c r="A856">
        <f t="shared" si="58"/>
        <v>761</v>
      </c>
      <c r="B856">
        <f t="shared" ca="1" si="59"/>
        <v>0.97</v>
      </c>
      <c r="C856" s="6">
        <f t="shared" ca="1" si="60"/>
        <v>-63922.043576258453</v>
      </c>
      <c r="F856">
        <f t="shared" si="62"/>
        <v>765</v>
      </c>
      <c r="G856">
        <f t="shared" ca="1" si="61"/>
        <v>0.89100000000000001</v>
      </c>
    </row>
    <row r="857" spans="1:7">
      <c r="A857">
        <f t="shared" si="58"/>
        <v>762</v>
      </c>
      <c r="B857">
        <f t="shared" ca="1" si="59"/>
        <v>0.56999999999999995</v>
      </c>
      <c r="C857" s="6">
        <f t="shared" ca="1" si="60"/>
        <v>-63922.043576258453</v>
      </c>
      <c r="F857">
        <f t="shared" si="62"/>
        <v>766</v>
      </c>
      <c r="G857">
        <f t="shared" ca="1" si="61"/>
        <v>0.96799999999999997</v>
      </c>
    </row>
    <row r="858" spans="1:7">
      <c r="A858">
        <f t="shared" si="58"/>
        <v>763</v>
      </c>
      <c r="B858">
        <f t="shared" ca="1" si="59"/>
        <v>0.59</v>
      </c>
      <c r="C858" s="6">
        <f t="shared" ca="1" si="60"/>
        <v>-63922.043576258453</v>
      </c>
      <c r="F858">
        <f t="shared" si="62"/>
        <v>767</v>
      </c>
      <c r="G858">
        <f t="shared" ca="1" si="61"/>
        <v>0.56499999999999995</v>
      </c>
    </row>
    <row r="859" spans="1:7">
      <c r="A859">
        <f t="shared" ref="A859:A922" si="63">ROW()-95</f>
        <v>764</v>
      </c>
      <c r="B859">
        <f t="shared" ref="B859:B922" ca="1" si="64">RANDBETWEEN(40,100)/100</f>
        <v>0.56999999999999995</v>
      </c>
      <c r="C859" s="6">
        <f t="shared" ref="C859:C922" ca="1" si="65">$B$71 + 0*B859</f>
        <v>-63922.043576258453</v>
      </c>
      <c r="F859">
        <f t="shared" si="62"/>
        <v>768</v>
      </c>
      <c r="G859">
        <f t="shared" ca="1" si="61"/>
        <v>0.56699999999999995</v>
      </c>
    </row>
    <row r="860" spans="1:7">
      <c r="A860">
        <f t="shared" si="63"/>
        <v>765</v>
      </c>
      <c r="B860">
        <f t="shared" ca="1" si="64"/>
        <v>0.6</v>
      </c>
      <c r="C860" s="6">
        <f t="shared" ca="1" si="65"/>
        <v>-63922.043576258453</v>
      </c>
      <c r="F860">
        <f t="shared" si="62"/>
        <v>769</v>
      </c>
      <c r="G860">
        <f t="shared" ca="1" si="61"/>
        <v>0.51800000000000002</v>
      </c>
    </row>
    <row r="861" spans="1:7">
      <c r="A861">
        <f t="shared" si="63"/>
        <v>766</v>
      </c>
      <c r="B861">
        <f t="shared" ca="1" si="64"/>
        <v>0.61</v>
      </c>
      <c r="C861" s="6">
        <f t="shared" ca="1" si="65"/>
        <v>-63922.043576258453</v>
      </c>
      <c r="F861">
        <f t="shared" si="62"/>
        <v>770</v>
      </c>
      <c r="G861">
        <f t="shared" ref="G861:G924" ca="1" si="66">ROUND(RAND()*(1-0.4)+0.4,3)</f>
        <v>0.56000000000000005</v>
      </c>
    </row>
    <row r="862" spans="1:7">
      <c r="A862">
        <f t="shared" si="63"/>
        <v>767</v>
      </c>
      <c r="B862">
        <f t="shared" ca="1" si="64"/>
        <v>0.72</v>
      </c>
      <c r="C862" s="6">
        <f t="shared" ca="1" si="65"/>
        <v>-63922.043576258453</v>
      </c>
      <c r="F862">
        <f t="shared" ref="F862:F925" si="67">F861+1</f>
        <v>771</v>
      </c>
      <c r="G862">
        <f t="shared" ca="1" si="66"/>
        <v>0.441</v>
      </c>
    </row>
    <row r="863" spans="1:7">
      <c r="A863">
        <f t="shared" si="63"/>
        <v>768</v>
      </c>
      <c r="B863">
        <f t="shared" ca="1" si="64"/>
        <v>0.44</v>
      </c>
      <c r="C863" s="6">
        <f t="shared" ca="1" si="65"/>
        <v>-63922.043576258453</v>
      </c>
      <c r="F863">
        <f t="shared" si="67"/>
        <v>772</v>
      </c>
      <c r="G863">
        <f t="shared" ca="1" si="66"/>
        <v>0.55800000000000005</v>
      </c>
    </row>
    <row r="864" spans="1:7">
      <c r="A864">
        <f t="shared" si="63"/>
        <v>769</v>
      </c>
      <c r="B864">
        <f t="shared" ca="1" si="64"/>
        <v>0.65</v>
      </c>
      <c r="C864" s="6">
        <f t="shared" ca="1" si="65"/>
        <v>-63922.043576258453</v>
      </c>
      <c r="F864">
        <f t="shared" si="67"/>
        <v>773</v>
      </c>
      <c r="G864">
        <f t="shared" ca="1" si="66"/>
        <v>0.624</v>
      </c>
    </row>
    <row r="865" spans="1:7">
      <c r="A865">
        <f t="shared" si="63"/>
        <v>770</v>
      </c>
      <c r="B865">
        <f t="shared" ca="1" si="64"/>
        <v>0.62</v>
      </c>
      <c r="C865" s="6">
        <f t="shared" ca="1" si="65"/>
        <v>-63922.043576258453</v>
      </c>
      <c r="F865">
        <f t="shared" si="67"/>
        <v>774</v>
      </c>
      <c r="G865">
        <f t="shared" ca="1" si="66"/>
        <v>0.434</v>
      </c>
    </row>
    <row r="866" spans="1:7">
      <c r="A866">
        <f t="shared" si="63"/>
        <v>771</v>
      </c>
      <c r="B866">
        <f t="shared" ca="1" si="64"/>
        <v>0.69</v>
      </c>
      <c r="C866" s="6">
        <f t="shared" ca="1" si="65"/>
        <v>-63922.043576258453</v>
      </c>
      <c r="F866">
        <f t="shared" si="67"/>
        <v>775</v>
      </c>
      <c r="G866">
        <f t="shared" ca="1" si="66"/>
        <v>0.80700000000000005</v>
      </c>
    </row>
    <row r="867" spans="1:7">
      <c r="A867">
        <f t="shared" si="63"/>
        <v>772</v>
      </c>
      <c r="B867">
        <f t="shared" ca="1" si="64"/>
        <v>0.87</v>
      </c>
      <c r="C867" s="6">
        <f t="shared" ca="1" si="65"/>
        <v>-63922.043576258453</v>
      </c>
      <c r="F867">
        <f t="shared" si="67"/>
        <v>776</v>
      </c>
      <c r="G867">
        <f t="shared" ca="1" si="66"/>
        <v>0.68799999999999994</v>
      </c>
    </row>
    <row r="868" spans="1:7">
      <c r="A868">
        <f t="shared" si="63"/>
        <v>773</v>
      </c>
      <c r="B868">
        <f t="shared" ca="1" si="64"/>
        <v>0.81</v>
      </c>
      <c r="C868" s="6">
        <f t="shared" ca="1" si="65"/>
        <v>-63922.043576258453</v>
      </c>
      <c r="F868">
        <f t="shared" si="67"/>
        <v>777</v>
      </c>
      <c r="G868">
        <f t="shared" ca="1" si="66"/>
        <v>0.88300000000000001</v>
      </c>
    </row>
    <row r="869" spans="1:7">
      <c r="A869">
        <f t="shared" si="63"/>
        <v>774</v>
      </c>
      <c r="B869">
        <f t="shared" ca="1" si="64"/>
        <v>0.73</v>
      </c>
      <c r="C869" s="6">
        <f t="shared" ca="1" si="65"/>
        <v>-63922.043576258453</v>
      </c>
      <c r="F869">
        <f t="shared" si="67"/>
        <v>778</v>
      </c>
      <c r="G869">
        <f t="shared" ca="1" si="66"/>
        <v>0.79700000000000004</v>
      </c>
    </row>
    <row r="870" spans="1:7">
      <c r="A870">
        <f t="shared" si="63"/>
        <v>775</v>
      </c>
      <c r="B870">
        <f t="shared" ca="1" si="64"/>
        <v>0.99</v>
      </c>
      <c r="C870" s="6">
        <f t="shared" ca="1" si="65"/>
        <v>-63922.043576258453</v>
      </c>
      <c r="F870">
        <f t="shared" si="67"/>
        <v>779</v>
      </c>
      <c r="G870">
        <f t="shared" ca="1" si="66"/>
        <v>0.46700000000000003</v>
      </c>
    </row>
    <row r="871" spans="1:7">
      <c r="A871">
        <f t="shared" si="63"/>
        <v>776</v>
      </c>
      <c r="B871">
        <f t="shared" ca="1" si="64"/>
        <v>0.52</v>
      </c>
      <c r="C871" s="6">
        <f t="shared" ca="1" si="65"/>
        <v>-63922.043576258453</v>
      </c>
      <c r="F871">
        <f t="shared" si="67"/>
        <v>780</v>
      </c>
      <c r="G871">
        <f t="shared" ca="1" si="66"/>
        <v>0.41699999999999998</v>
      </c>
    </row>
    <row r="872" spans="1:7">
      <c r="A872">
        <f t="shared" si="63"/>
        <v>777</v>
      </c>
      <c r="B872">
        <f t="shared" ca="1" si="64"/>
        <v>0.76</v>
      </c>
      <c r="C872" s="6">
        <f t="shared" ca="1" si="65"/>
        <v>-63922.043576258453</v>
      </c>
      <c r="F872">
        <f t="shared" si="67"/>
        <v>781</v>
      </c>
      <c r="G872">
        <f t="shared" ca="1" si="66"/>
        <v>0.70699999999999996</v>
      </c>
    </row>
    <row r="873" spans="1:7">
      <c r="A873">
        <f t="shared" si="63"/>
        <v>778</v>
      </c>
      <c r="B873">
        <f t="shared" ca="1" si="64"/>
        <v>0.5</v>
      </c>
      <c r="C873" s="6">
        <f t="shared" ca="1" si="65"/>
        <v>-63922.043576258453</v>
      </c>
      <c r="F873">
        <f t="shared" si="67"/>
        <v>782</v>
      </c>
      <c r="G873">
        <f t="shared" ca="1" si="66"/>
        <v>0.72899999999999998</v>
      </c>
    </row>
    <row r="874" spans="1:7">
      <c r="A874">
        <f t="shared" si="63"/>
        <v>779</v>
      </c>
      <c r="B874">
        <f t="shared" ca="1" si="64"/>
        <v>0.74</v>
      </c>
      <c r="C874" s="6">
        <f t="shared" ca="1" si="65"/>
        <v>-63922.043576258453</v>
      </c>
      <c r="F874">
        <f t="shared" si="67"/>
        <v>783</v>
      </c>
      <c r="G874">
        <f t="shared" ca="1" si="66"/>
        <v>0.76500000000000001</v>
      </c>
    </row>
    <row r="875" spans="1:7">
      <c r="A875">
        <f t="shared" si="63"/>
        <v>780</v>
      </c>
      <c r="B875">
        <f t="shared" ca="1" si="64"/>
        <v>0.92</v>
      </c>
      <c r="C875" s="6">
        <f t="shared" ca="1" si="65"/>
        <v>-63922.043576258453</v>
      </c>
      <c r="F875">
        <f t="shared" si="67"/>
        <v>784</v>
      </c>
      <c r="G875">
        <f t="shared" ca="1" si="66"/>
        <v>0.85699999999999998</v>
      </c>
    </row>
    <row r="876" spans="1:7">
      <c r="A876">
        <f t="shared" si="63"/>
        <v>781</v>
      </c>
      <c r="B876">
        <f t="shared" ca="1" si="64"/>
        <v>0.63</v>
      </c>
      <c r="C876" s="6">
        <f t="shared" ca="1" si="65"/>
        <v>-63922.043576258453</v>
      </c>
      <c r="F876">
        <f t="shared" si="67"/>
        <v>785</v>
      </c>
      <c r="G876">
        <f t="shared" ca="1" si="66"/>
        <v>0.59899999999999998</v>
      </c>
    </row>
    <row r="877" spans="1:7">
      <c r="A877">
        <f t="shared" si="63"/>
        <v>782</v>
      </c>
      <c r="B877">
        <f t="shared" ca="1" si="64"/>
        <v>0.4</v>
      </c>
      <c r="C877" s="6">
        <f t="shared" ca="1" si="65"/>
        <v>-63922.043576258453</v>
      </c>
      <c r="F877">
        <f t="shared" si="67"/>
        <v>786</v>
      </c>
      <c r="G877">
        <f t="shared" ca="1" si="66"/>
        <v>0.83</v>
      </c>
    </row>
    <row r="878" spans="1:7">
      <c r="A878">
        <f t="shared" si="63"/>
        <v>783</v>
      </c>
      <c r="B878">
        <f t="shared" ca="1" si="64"/>
        <v>0.48</v>
      </c>
      <c r="C878" s="6">
        <f t="shared" ca="1" si="65"/>
        <v>-63922.043576258453</v>
      </c>
      <c r="F878">
        <f t="shared" si="67"/>
        <v>787</v>
      </c>
      <c r="G878">
        <f t="shared" ca="1" si="66"/>
        <v>0.622</v>
      </c>
    </row>
    <row r="879" spans="1:7">
      <c r="A879">
        <f t="shared" si="63"/>
        <v>784</v>
      </c>
      <c r="B879">
        <f t="shared" ca="1" si="64"/>
        <v>0.45</v>
      </c>
      <c r="C879" s="6">
        <f t="shared" ca="1" si="65"/>
        <v>-63922.043576258453</v>
      </c>
      <c r="F879">
        <f t="shared" si="67"/>
        <v>788</v>
      </c>
      <c r="G879">
        <f t="shared" ca="1" si="66"/>
        <v>0.83499999999999996</v>
      </c>
    </row>
    <row r="880" spans="1:7">
      <c r="A880">
        <f t="shared" si="63"/>
        <v>785</v>
      </c>
      <c r="B880">
        <f t="shared" ca="1" si="64"/>
        <v>0.99</v>
      </c>
      <c r="C880" s="6">
        <f t="shared" ca="1" si="65"/>
        <v>-63922.043576258453</v>
      </c>
      <c r="F880">
        <f t="shared" si="67"/>
        <v>789</v>
      </c>
      <c r="G880">
        <f t="shared" ca="1" si="66"/>
        <v>0.502</v>
      </c>
    </row>
    <row r="881" spans="1:7">
      <c r="A881">
        <f t="shared" si="63"/>
        <v>786</v>
      </c>
      <c r="B881">
        <f t="shared" ca="1" si="64"/>
        <v>0.88</v>
      </c>
      <c r="C881" s="6">
        <f t="shared" ca="1" si="65"/>
        <v>-63922.043576258453</v>
      </c>
      <c r="F881">
        <f t="shared" si="67"/>
        <v>790</v>
      </c>
      <c r="G881">
        <f t="shared" ca="1" si="66"/>
        <v>0.88900000000000001</v>
      </c>
    </row>
    <row r="882" spans="1:7">
      <c r="A882">
        <f t="shared" si="63"/>
        <v>787</v>
      </c>
      <c r="B882">
        <f t="shared" ca="1" si="64"/>
        <v>0.68</v>
      </c>
      <c r="C882" s="6">
        <f t="shared" ca="1" si="65"/>
        <v>-63922.043576258453</v>
      </c>
      <c r="F882">
        <f t="shared" si="67"/>
        <v>791</v>
      </c>
      <c r="G882">
        <f t="shared" ca="1" si="66"/>
        <v>0.82399999999999995</v>
      </c>
    </row>
    <row r="883" spans="1:7">
      <c r="A883">
        <f t="shared" si="63"/>
        <v>788</v>
      </c>
      <c r="B883">
        <f t="shared" ca="1" si="64"/>
        <v>0.61</v>
      </c>
      <c r="C883" s="6">
        <f t="shared" ca="1" si="65"/>
        <v>-63922.043576258453</v>
      </c>
      <c r="F883">
        <f t="shared" si="67"/>
        <v>792</v>
      </c>
      <c r="G883">
        <f t="shared" ca="1" si="66"/>
        <v>0.41399999999999998</v>
      </c>
    </row>
    <row r="884" spans="1:7">
      <c r="A884">
        <f t="shared" si="63"/>
        <v>789</v>
      </c>
      <c r="B884">
        <f t="shared" ca="1" si="64"/>
        <v>0.63</v>
      </c>
      <c r="C884" s="6">
        <f t="shared" ca="1" si="65"/>
        <v>-63922.043576258453</v>
      </c>
      <c r="F884">
        <f t="shared" si="67"/>
        <v>793</v>
      </c>
      <c r="G884">
        <f t="shared" ca="1" si="66"/>
        <v>0.435</v>
      </c>
    </row>
    <row r="885" spans="1:7">
      <c r="A885">
        <f t="shared" si="63"/>
        <v>790</v>
      </c>
      <c r="B885">
        <f t="shared" ca="1" si="64"/>
        <v>0.45</v>
      </c>
      <c r="C885" s="6">
        <f t="shared" ca="1" si="65"/>
        <v>-63922.043576258453</v>
      </c>
      <c r="F885">
        <f t="shared" si="67"/>
        <v>794</v>
      </c>
      <c r="G885">
        <f t="shared" ca="1" si="66"/>
        <v>0.625</v>
      </c>
    </row>
    <row r="886" spans="1:7">
      <c r="A886">
        <f t="shared" si="63"/>
        <v>791</v>
      </c>
      <c r="B886">
        <f t="shared" ca="1" si="64"/>
        <v>0.44</v>
      </c>
      <c r="C886" s="6">
        <f t="shared" ca="1" si="65"/>
        <v>-63922.043576258453</v>
      </c>
      <c r="F886">
        <f t="shared" si="67"/>
        <v>795</v>
      </c>
      <c r="G886">
        <f t="shared" ca="1" si="66"/>
        <v>0.54200000000000004</v>
      </c>
    </row>
    <row r="887" spans="1:7">
      <c r="A887">
        <f t="shared" si="63"/>
        <v>792</v>
      </c>
      <c r="B887">
        <f t="shared" ca="1" si="64"/>
        <v>0.4</v>
      </c>
      <c r="C887" s="6">
        <f t="shared" ca="1" si="65"/>
        <v>-63922.043576258453</v>
      </c>
      <c r="F887">
        <f t="shared" si="67"/>
        <v>796</v>
      </c>
      <c r="G887">
        <f t="shared" ca="1" si="66"/>
        <v>0.69499999999999995</v>
      </c>
    </row>
    <row r="888" spans="1:7">
      <c r="A888">
        <f t="shared" si="63"/>
        <v>793</v>
      </c>
      <c r="B888">
        <f t="shared" ca="1" si="64"/>
        <v>0.52</v>
      </c>
      <c r="C888" s="6">
        <f t="shared" ca="1" si="65"/>
        <v>-63922.043576258453</v>
      </c>
      <c r="F888">
        <f t="shared" si="67"/>
        <v>797</v>
      </c>
      <c r="G888">
        <f t="shared" ca="1" si="66"/>
        <v>0.73599999999999999</v>
      </c>
    </row>
    <row r="889" spans="1:7">
      <c r="A889">
        <f t="shared" si="63"/>
        <v>794</v>
      </c>
      <c r="B889">
        <f t="shared" ca="1" si="64"/>
        <v>0.94</v>
      </c>
      <c r="C889" s="6">
        <f t="shared" ca="1" si="65"/>
        <v>-63922.043576258453</v>
      </c>
      <c r="F889">
        <f t="shared" si="67"/>
        <v>798</v>
      </c>
      <c r="G889">
        <f t="shared" ca="1" si="66"/>
        <v>0.45900000000000002</v>
      </c>
    </row>
    <row r="890" spans="1:7">
      <c r="A890">
        <f t="shared" si="63"/>
        <v>795</v>
      </c>
      <c r="B890">
        <f t="shared" ca="1" si="64"/>
        <v>0.41</v>
      </c>
      <c r="C890" s="6">
        <f t="shared" ca="1" si="65"/>
        <v>-63922.043576258453</v>
      </c>
      <c r="F890">
        <f t="shared" si="67"/>
        <v>799</v>
      </c>
      <c r="G890">
        <f t="shared" ca="1" si="66"/>
        <v>0.62</v>
      </c>
    </row>
    <row r="891" spans="1:7">
      <c r="A891">
        <f t="shared" si="63"/>
        <v>796</v>
      </c>
      <c r="B891">
        <f t="shared" ca="1" si="64"/>
        <v>0.98</v>
      </c>
      <c r="C891" s="6">
        <f t="shared" ca="1" si="65"/>
        <v>-63922.043576258453</v>
      </c>
      <c r="F891">
        <f t="shared" si="67"/>
        <v>800</v>
      </c>
      <c r="G891">
        <f t="shared" ca="1" si="66"/>
        <v>0.93700000000000006</v>
      </c>
    </row>
    <row r="892" spans="1:7">
      <c r="A892">
        <f t="shared" si="63"/>
        <v>797</v>
      </c>
      <c r="B892">
        <f t="shared" ca="1" si="64"/>
        <v>0.79</v>
      </c>
      <c r="C892" s="6">
        <f t="shared" ca="1" si="65"/>
        <v>-63922.043576258453</v>
      </c>
      <c r="F892">
        <f t="shared" si="67"/>
        <v>801</v>
      </c>
      <c r="G892">
        <f t="shared" ca="1" si="66"/>
        <v>0.66300000000000003</v>
      </c>
    </row>
    <row r="893" spans="1:7">
      <c r="A893">
        <f t="shared" si="63"/>
        <v>798</v>
      </c>
      <c r="B893">
        <f t="shared" ca="1" si="64"/>
        <v>0.68</v>
      </c>
      <c r="C893" s="6">
        <f t="shared" ca="1" si="65"/>
        <v>-63922.043576258453</v>
      </c>
      <c r="F893">
        <f t="shared" si="67"/>
        <v>802</v>
      </c>
      <c r="G893">
        <f t="shared" ca="1" si="66"/>
        <v>0.96399999999999997</v>
      </c>
    </row>
    <row r="894" spans="1:7">
      <c r="A894">
        <f t="shared" si="63"/>
        <v>799</v>
      </c>
      <c r="B894">
        <f t="shared" ca="1" si="64"/>
        <v>0.56000000000000005</v>
      </c>
      <c r="C894" s="6">
        <f t="shared" ca="1" si="65"/>
        <v>-63922.043576258453</v>
      </c>
      <c r="F894">
        <f t="shared" si="67"/>
        <v>803</v>
      </c>
      <c r="G894">
        <f t="shared" ca="1" si="66"/>
        <v>0.61499999999999999</v>
      </c>
    </row>
    <row r="895" spans="1:7">
      <c r="A895">
        <f t="shared" si="63"/>
        <v>800</v>
      </c>
      <c r="B895">
        <f t="shared" ca="1" si="64"/>
        <v>0.83</v>
      </c>
      <c r="C895" s="6">
        <f t="shared" ca="1" si="65"/>
        <v>-63922.043576258453</v>
      </c>
      <c r="F895">
        <f t="shared" si="67"/>
        <v>804</v>
      </c>
      <c r="G895">
        <f t="shared" ca="1" si="66"/>
        <v>0.55400000000000005</v>
      </c>
    </row>
    <row r="896" spans="1:7">
      <c r="A896">
        <f t="shared" si="63"/>
        <v>801</v>
      </c>
      <c r="B896">
        <f t="shared" ca="1" si="64"/>
        <v>0.82</v>
      </c>
      <c r="C896" s="6">
        <f t="shared" ca="1" si="65"/>
        <v>-63922.043576258453</v>
      </c>
      <c r="F896">
        <f t="shared" si="67"/>
        <v>805</v>
      </c>
      <c r="G896">
        <f t="shared" ca="1" si="66"/>
        <v>0.58399999999999996</v>
      </c>
    </row>
    <row r="897" spans="1:7">
      <c r="A897">
        <f t="shared" si="63"/>
        <v>802</v>
      </c>
      <c r="B897">
        <f t="shared" ca="1" si="64"/>
        <v>0.71</v>
      </c>
      <c r="C897" s="6">
        <f t="shared" ca="1" si="65"/>
        <v>-63922.043576258453</v>
      </c>
      <c r="F897">
        <f t="shared" si="67"/>
        <v>806</v>
      </c>
      <c r="G897">
        <f t="shared" ca="1" si="66"/>
        <v>0.52600000000000002</v>
      </c>
    </row>
    <row r="898" spans="1:7">
      <c r="A898">
        <f t="shared" si="63"/>
        <v>803</v>
      </c>
      <c r="B898">
        <f t="shared" ca="1" si="64"/>
        <v>0.49</v>
      </c>
      <c r="C898" s="6">
        <f t="shared" ca="1" si="65"/>
        <v>-63922.043576258453</v>
      </c>
      <c r="F898">
        <f t="shared" si="67"/>
        <v>807</v>
      </c>
      <c r="G898">
        <f t="shared" ca="1" si="66"/>
        <v>0.90800000000000003</v>
      </c>
    </row>
    <row r="899" spans="1:7">
      <c r="A899">
        <f t="shared" si="63"/>
        <v>804</v>
      </c>
      <c r="B899">
        <f t="shared" ca="1" si="64"/>
        <v>0.64</v>
      </c>
      <c r="C899" s="6">
        <f t="shared" ca="1" si="65"/>
        <v>-63922.043576258453</v>
      </c>
      <c r="F899">
        <f t="shared" si="67"/>
        <v>808</v>
      </c>
      <c r="G899">
        <f t="shared" ca="1" si="66"/>
        <v>0.503</v>
      </c>
    </row>
    <row r="900" spans="1:7">
      <c r="A900">
        <f t="shared" si="63"/>
        <v>805</v>
      </c>
      <c r="B900">
        <f t="shared" ca="1" si="64"/>
        <v>0.92</v>
      </c>
      <c r="C900" s="6">
        <f t="shared" ca="1" si="65"/>
        <v>-63922.043576258453</v>
      </c>
      <c r="F900">
        <f t="shared" si="67"/>
        <v>809</v>
      </c>
      <c r="G900">
        <f t="shared" ca="1" si="66"/>
        <v>0.47099999999999997</v>
      </c>
    </row>
    <row r="901" spans="1:7">
      <c r="A901">
        <f t="shared" si="63"/>
        <v>806</v>
      </c>
      <c r="B901">
        <f t="shared" ca="1" si="64"/>
        <v>0.94</v>
      </c>
      <c r="C901" s="6">
        <f t="shared" ca="1" si="65"/>
        <v>-63922.043576258453</v>
      </c>
      <c r="F901">
        <f t="shared" si="67"/>
        <v>810</v>
      </c>
      <c r="G901">
        <f t="shared" ca="1" si="66"/>
        <v>0.73399999999999999</v>
      </c>
    </row>
    <row r="902" spans="1:7">
      <c r="A902">
        <f t="shared" si="63"/>
        <v>807</v>
      </c>
      <c r="B902">
        <f t="shared" ca="1" si="64"/>
        <v>0.59</v>
      </c>
      <c r="C902" s="6">
        <f t="shared" ca="1" si="65"/>
        <v>-63922.043576258453</v>
      </c>
      <c r="F902">
        <f t="shared" si="67"/>
        <v>811</v>
      </c>
      <c r="G902">
        <f t="shared" ca="1" si="66"/>
        <v>0.40799999999999997</v>
      </c>
    </row>
    <row r="903" spans="1:7">
      <c r="A903">
        <f t="shared" si="63"/>
        <v>808</v>
      </c>
      <c r="B903">
        <f t="shared" ca="1" si="64"/>
        <v>0.89</v>
      </c>
      <c r="C903" s="6">
        <f t="shared" ca="1" si="65"/>
        <v>-63922.043576258453</v>
      </c>
      <c r="F903">
        <f t="shared" si="67"/>
        <v>812</v>
      </c>
      <c r="G903">
        <f t="shared" ca="1" si="66"/>
        <v>0.94199999999999995</v>
      </c>
    </row>
    <row r="904" spans="1:7">
      <c r="A904">
        <f t="shared" si="63"/>
        <v>809</v>
      </c>
      <c r="B904">
        <f t="shared" ca="1" si="64"/>
        <v>0.79</v>
      </c>
      <c r="C904" s="6">
        <f t="shared" ca="1" si="65"/>
        <v>-63922.043576258453</v>
      </c>
      <c r="F904">
        <f t="shared" si="67"/>
        <v>813</v>
      </c>
      <c r="G904">
        <f t="shared" ca="1" si="66"/>
        <v>0.70299999999999996</v>
      </c>
    </row>
    <row r="905" spans="1:7">
      <c r="A905">
        <f t="shared" si="63"/>
        <v>810</v>
      </c>
      <c r="B905">
        <f t="shared" ca="1" si="64"/>
        <v>0.65</v>
      </c>
      <c r="C905" s="6">
        <f t="shared" ca="1" si="65"/>
        <v>-63922.043576258453</v>
      </c>
      <c r="F905">
        <f t="shared" si="67"/>
        <v>814</v>
      </c>
      <c r="G905">
        <f t="shared" ca="1" si="66"/>
        <v>0.63800000000000001</v>
      </c>
    </row>
    <row r="906" spans="1:7">
      <c r="A906">
        <f t="shared" si="63"/>
        <v>811</v>
      </c>
      <c r="B906">
        <f t="shared" ca="1" si="64"/>
        <v>0.46</v>
      </c>
      <c r="C906" s="6">
        <f t="shared" ca="1" si="65"/>
        <v>-63922.043576258453</v>
      </c>
      <c r="F906">
        <f t="shared" si="67"/>
        <v>815</v>
      </c>
      <c r="G906">
        <f t="shared" ca="1" si="66"/>
        <v>0.74199999999999999</v>
      </c>
    </row>
    <row r="907" spans="1:7">
      <c r="A907">
        <f t="shared" si="63"/>
        <v>812</v>
      </c>
      <c r="B907">
        <f t="shared" ca="1" si="64"/>
        <v>0.45</v>
      </c>
      <c r="C907" s="6">
        <f t="shared" ca="1" si="65"/>
        <v>-63922.043576258453</v>
      </c>
      <c r="F907">
        <f t="shared" si="67"/>
        <v>816</v>
      </c>
      <c r="G907">
        <f t="shared" ca="1" si="66"/>
        <v>0.91200000000000003</v>
      </c>
    </row>
    <row r="908" spans="1:7">
      <c r="A908">
        <f t="shared" si="63"/>
        <v>813</v>
      </c>
      <c r="B908">
        <f t="shared" ca="1" si="64"/>
        <v>0.86</v>
      </c>
      <c r="C908" s="6">
        <f t="shared" ca="1" si="65"/>
        <v>-63922.043576258453</v>
      </c>
      <c r="F908">
        <f t="shared" si="67"/>
        <v>817</v>
      </c>
      <c r="G908">
        <f t="shared" ca="1" si="66"/>
        <v>0.88100000000000001</v>
      </c>
    </row>
    <row r="909" spans="1:7">
      <c r="A909">
        <f t="shared" si="63"/>
        <v>814</v>
      </c>
      <c r="B909">
        <f t="shared" ca="1" si="64"/>
        <v>0.81</v>
      </c>
      <c r="C909" s="6">
        <f t="shared" ca="1" si="65"/>
        <v>-63922.043576258453</v>
      </c>
      <c r="F909">
        <f t="shared" si="67"/>
        <v>818</v>
      </c>
      <c r="G909">
        <f t="shared" ca="1" si="66"/>
        <v>0.40500000000000003</v>
      </c>
    </row>
    <row r="910" spans="1:7">
      <c r="A910">
        <f t="shared" si="63"/>
        <v>815</v>
      </c>
      <c r="B910">
        <f t="shared" ca="1" si="64"/>
        <v>0.91</v>
      </c>
      <c r="C910" s="6">
        <f t="shared" ca="1" si="65"/>
        <v>-63922.043576258453</v>
      </c>
      <c r="F910">
        <f t="shared" si="67"/>
        <v>819</v>
      </c>
      <c r="G910">
        <f t="shared" ca="1" si="66"/>
        <v>0.71499999999999997</v>
      </c>
    </row>
    <row r="911" spans="1:7">
      <c r="A911">
        <f t="shared" si="63"/>
        <v>816</v>
      </c>
      <c r="B911">
        <f t="shared" ca="1" si="64"/>
        <v>0.76</v>
      </c>
      <c r="C911" s="6">
        <f t="shared" ca="1" si="65"/>
        <v>-63922.043576258453</v>
      </c>
      <c r="F911">
        <f t="shared" si="67"/>
        <v>820</v>
      </c>
      <c r="G911">
        <f t="shared" ca="1" si="66"/>
        <v>0.98499999999999999</v>
      </c>
    </row>
    <row r="912" spans="1:7">
      <c r="A912">
        <f t="shared" si="63"/>
        <v>817</v>
      </c>
      <c r="B912">
        <f t="shared" ca="1" si="64"/>
        <v>0.95</v>
      </c>
      <c r="C912" s="6">
        <f t="shared" ca="1" si="65"/>
        <v>-63922.043576258453</v>
      </c>
      <c r="F912">
        <f t="shared" si="67"/>
        <v>821</v>
      </c>
      <c r="G912">
        <f t="shared" ca="1" si="66"/>
        <v>0.8</v>
      </c>
    </row>
    <row r="913" spans="1:7">
      <c r="A913">
        <f t="shared" si="63"/>
        <v>818</v>
      </c>
      <c r="B913">
        <f t="shared" ca="1" si="64"/>
        <v>0.52</v>
      </c>
      <c r="C913" s="6">
        <f t="shared" ca="1" si="65"/>
        <v>-63922.043576258453</v>
      </c>
      <c r="F913">
        <f t="shared" si="67"/>
        <v>822</v>
      </c>
      <c r="G913">
        <f t="shared" ca="1" si="66"/>
        <v>0.622</v>
      </c>
    </row>
    <row r="914" spans="1:7">
      <c r="A914">
        <f t="shared" si="63"/>
        <v>819</v>
      </c>
      <c r="B914">
        <f t="shared" ca="1" si="64"/>
        <v>0.72</v>
      </c>
      <c r="C914" s="6">
        <f t="shared" ca="1" si="65"/>
        <v>-63922.043576258453</v>
      </c>
      <c r="F914">
        <f t="shared" si="67"/>
        <v>823</v>
      </c>
      <c r="G914">
        <f t="shared" ca="1" si="66"/>
        <v>0.88200000000000001</v>
      </c>
    </row>
    <row r="915" spans="1:7">
      <c r="A915">
        <f t="shared" si="63"/>
        <v>820</v>
      </c>
      <c r="B915">
        <f t="shared" ca="1" si="64"/>
        <v>0.6</v>
      </c>
      <c r="C915" s="6">
        <f t="shared" ca="1" si="65"/>
        <v>-63922.043576258453</v>
      </c>
      <c r="F915">
        <f t="shared" si="67"/>
        <v>824</v>
      </c>
      <c r="G915">
        <f t="shared" ca="1" si="66"/>
        <v>0.80500000000000005</v>
      </c>
    </row>
    <row r="916" spans="1:7">
      <c r="A916">
        <f t="shared" si="63"/>
        <v>821</v>
      </c>
      <c r="B916">
        <f t="shared" ca="1" si="64"/>
        <v>0.57999999999999996</v>
      </c>
      <c r="C916" s="6">
        <f t="shared" ca="1" si="65"/>
        <v>-63922.043576258453</v>
      </c>
      <c r="F916">
        <f t="shared" si="67"/>
        <v>825</v>
      </c>
      <c r="G916">
        <f t="shared" ca="1" si="66"/>
        <v>0.95699999999999996</v>
      </c>
    </row>
    <row r="917" spans="1:7">
      <c r="A917">
        <f t="shared" si="63"/>
        <v>822</v>
      </c>
      <c r="B917">
        <f t="shared" ca="1" si="64"/>
        <v>0.73</v>
      </c>
      <c r="C917" s="6">
        <f t="shared" ca="1" si="65"/>
        <v>-63922.043576258453</v>
      </c>
      <c r="F917">
        <f t="shared" si="67"/>
        <v>826</v>
      </c>
      <c r="G917">
        <f t="shared" ca="1" si="66"/>
        <v>0.438</v>
      </c>
    </row>
    <row r="918" spans="1:7">
      <c r="A918">
        <f t="shared" si="63"/>
        <v>823</v>
      </c>
      <c r="B918">
        <f t="shared" ca="1" si="64"/>
        <v>0.81</v>
      </c>
      <c r="C918" s="6">
        <f t="shared" ca="1" si="65"/>
        <v>-63922.043576258453</v>
      </c>
      <c r="F918">
        <f t="shared" si="67"/>
        <v>827</v>
      </c>
      <c r="G918">
        <f t="shared" ca="1" si="66"/>
        <v>0.65300000000000002</v>
      </c>
    </row>
    <row r="919" spans="1:7">
      <c r="A919">
        <f t="shared" si="63"/>
        <v>824</v>
      </c>
      <c r="B919">
        <f t="shared" ca="1" si="64"/>
        <v>1</v>
      </c>
      <c r="C919" s="6">
        <f t="shared" ca="1" si="65"/>
        <v>-63922.043576258453</v>
      </c>
      <c r="F919">
        <f t="shared" si="67"/>
        <v>828</v>
      </c>
      <c r="G919">
        <f t="shared" ca="1" si="66"/>
        <v>0.67900000000000005</v>
      </c>
    </row>
    <row r="920" spans="1:7">
      <c r="A920">
        <f t="shared" si="63"/>
        <v>825</v>
      </c>
      <c r="B920">
        <f t="shared" ca="1" si="64"/>
        <v>0.54</v>
      </c>
      <c r="C920" s="6">
        <f t="shared" ca="1" si="65"/>
        <v>-63922.043576258453</v>
      </c>
      <c r="F920">
        <f t="shared" si="67"/>
        <v>829</v>
      </c>
      <c r="G920">
        <f t="shared" ca="1" si="66"/>
        <v>0.60299999999999998</v>
      </c>
    </row>
    <row r="921" spans="1:7">
      <c r="A921">
        <f t="shared" si="63"/>
        <v>826</v>
      </c>
      <c r="B921">
        <f t="shared" ca="1" si="64"/>
        <v>0.94</v>
      </c>
      <c r="C921" s="6">
        <f t="shared" ca="1" si="65"/>
        <v>-63922.043576258453</v>
      </c>
      <c r="F921">
        <f t="shared" si="67"/>
        <v>830</v>
      </c>
      <c r="G921">
        <f t="shared" ca="1" si="66"/>
        <v>0.99199999999999999</v>
      </c>
    </row>
    <row r="922" spans="1:7">
      <c r="A922">
        <f t="shared" si="63"/>
        <v>827</v>
      </c>
      <c r="B922">
        <f t="shared" ca="1" si="64"/>
        <v>0.47</v>
      </c>
      <c r="C922" s="6">
        <f t="shared" ca="1" si="65"/>
        <v>-63922.043576258453</v>
      </c>
      <c r="F922">
        <f t="shared" si="67"/>
        <v>831</v>
      </c>
      <c r="G922">
        <f t="shared" ca="1" si="66"/>
        <v>0.79300000000000004</v>
      </c>
    </row>
    <row r="923" spans="1:7">
      <c r="A923">
        <f t="shared" ref="A923:A986" si="68">ROW()-95</f>
        <v>828</v>
      </c>
      <c r="B923">
        <f t="shared" ref="B923:B986" ca="1" si="69">RANDBETWEEN(40,100)/100</f>
        <v>0.54</v>
      </c>
      <c r="C923" s="6">
        <f t="shared" ref="C923:C986" ca="1" si="70">$B$71 + 0*B923</f>
        <v>-63922.043576258453</v>
      </c>
      <c r="F923">
        <f t="shared" si="67"/>
        <v>832</v>
      </c>
      <c r="G923">
        <f t="shared" ca="1" si="66"/>
        <v>0.92700000000000005</v>
      </c>
    </row>
    <row r="924" spans="1:7">
      <c r="A924">
        <f t="shared" si="68"/>
        <v>829</v>
      </c>
      <c r="B924">
        <f t="shared" ca="1" si="69"/>
        <v>0.73</v>
      </c>
      <c r="C924" s="6">
        <f t="shared" ca="1" si="70"/>
        <v>-63922.043576258453</v>
      </c>
      <c r="F924">
        <f t="shared" si="67"/>
        <v>833</v>
      </c>
      <c r="G924">
        <f t="shared" ca="1" si="66"/>
        <v>0.748</v>
      </c>
    </row>
    <row r="925" spans="1:7">
      <c r="A925">
        <f t="shared" si="68"/>
        <v>830</v>
      </c>
      <c r="B925">
        <f t="shared" ca="1" si="69"/>
        <v>0.82</v>
      </c>
      <c r="C925" s="6">
        <f t="shared" ca="1" si="70"/>
        <v>-63922.043576258453</v>
      </c>
      <c r="F925">
        <f t="shared" si="67"/>
        <v>834</v>
      </c>
      <c r="G925">
        <f t="shared" ref="G925:G988" ca="1" si="71">ROUND(RAND()*(1-0.4)+0.4,3)</f>
        <v>0.50800000000000001</v>
      </c>
    </row>
    <row r="926" spans="1:7">
      <c r="A926">
        <f t="shared" si="68"/>
        <v>831</v>
      </c>
      <c r="B926">
        <f t="shared" ca="1" si="69"/>
        <v>0.42</v>
      </c>
      <c r="C926" s="6">
        <f t="shared" ca="1" si="70"/>
        <v>-63922.043576258453</v>
      </c>
      <c r="F926">
        <f t="shared" ref="F926:F989" si="72">F925+1</f>
        <v>835</v>
      </c>
      <c r="G926">
        <f t="shared" ca="1" si="71"/>
        <v>0.47199999999999998</v>
      </c>
    </row>
    <row r="927" spans="1:7">
      <c r="A927">
        <f t="shared" si="68"/>
        <v>832</v>
      </c>
      <c r="B927">
        <f t="shared" ca="1" si="69"/>
        <v>0.42</v>
      </c>
      <c r="C927" s="6">
        <f t="shared" ca="1" si="70"/>
        <v>-63922.043576258453</v>
      </c>
      <c r="F927">
        <f t="shared" si="72"/>
        <v>836</v>
      </c>
      <c r="G927">
        <f t="shared" ca="1" si="71"/>
        <v>0.51700000000000002</v>
      </c>
    </row>
    <row r="928" spans="1:7">
      <c r="A928">
        <f t="shared" si="68"/>
        <v>833</v>
      </c>
      <c r="B928">
        <f t="shared" ca="1" si="69"/>
        <v>0.93</v>
      </c>
      <c r="C928" s="6">
        <f t="shared" ca="1" si="70"/>
        <v>-63922.043576258453</v>
      </c>
      <c r="F928">
        <f t="shared" si="72"/>
        <v>837</v>
      </c>
      <c r="G928">
        <f t="shared" ca="1" si="71"/>
        <v>0.85199999999999998</v>
      </c>
    </row>
    <row r="929" spans="1:7">
      <c r="A929">
        <f t="shared" si="68"/>
        <v>834</v>
      </c>
      <c r="B929">
        <f t="shared" ca="1" si="69"/>
        <v>0.63</v>
      </c>
      <c r="C929" s="6">
        <f t="shared" ca="1" si="70"/>
        <v>-63922.043576258453</v>
      </c>
      <c r="F929">
        <f t="shared" si="72"/>
        <v>838</v>
      </c>
      <c r="G929">
        <f t="shared" ca="1" si="71"/>
        <v>0.45600000000000002</v>
      </c>
    </row>
    <row r="930" spans="1:7">
      <c r="A930">
        <f t="shared" si="68"/>
        <v>835</v>
      </c>
      <c r="B930">
        <f t="shared" ca="1" si="69"/>
        <v>0.49</v>
      </c>
      <c r="C930" s="6">
        <f t="shared" ca="1" si="70"/>
        <v>-63922.043576258453</v>
      </c>
      <c r="F930">
        <f t="shared" si="72"/>
        <v>839</v>
      </c>
      <c r="G930">
        <f t="shared" ca="1" si="71"/>
        <v>0.63800000000000001</v>
      </c>
    </row>
    <row r="931" spans="1:7">
      <c r="A931">
        <f t="shared" si="68"/>
        <v>836</v>
      </c>
      <c r="B931">
        <f t="shared" ca="1" si="69"/>
        <v>0.93</v>
      </c>
      <c r="C931" s="6">
        <f t="shared" ca="1" si="70"/>
        <v>-63922.043576258453</v>
      </c>
      <c r="F931">
        <f t="shared" si="72"/>
        <v>840</v>
      </c>
      <c r="G931">
        <f t="shared" ca="1" si="71"/>
        <v>0.89400000000000002</v>
      </c>
    </row>
    <row r="932" spans="1:7">
      <c r="A932">
        <f t="shared" si="68"/>
        <v>837</v>
      </c>
      <c r="B932">
        <f t="shared" ca="1" si="69"/>
        <v>0.41</v>
      </c>
      <c r="C932" s="6">
        <f t="shared" ca="1" si="70"/>
        <v>-63922.043576258453</v>
      </c>
      <c r="F932">
        <f t="shared" si="72"/>
        <v>841</v>
      </c>
      <c r="G932">
        <f t="shared" ca="1" si="71"/>
        <v>0.86</v>
      </c>
    </row>
    <row r="933" spans="1:7">
      <c r="A933">
        <f t="shared" si="68"/>
        <v>838</v>
      </c>
      <c r="B933">
        <f t="shared" ca="1" si="69"/>
        <v>0.73</v>
      </c>
      <c r="C933" s="6">
        <f t="shared" ca="1" si="70"/>
        <v>-63922.043576258453</v>
      </c>
      <c r="F933">
        <f t="shared" si="72"/>
        <v>842</v>
      </c>
      <c r="G933">
        <f t="shared" ca="1" si="71"/>
        <v>0.60399999999999998</v>
      </c>
    </row>
    <row r="934" spans="1:7">
      <c r="A934">
        <f t="shared" si="68"/>
        <v>839</v>
      </c>
      <c r="B934">
        <f t="shared" ca="1" si="69"/>
        <v>0.89</v>
      </c>
      <c r="C934" s="6">
        <f t="shared" ca="1" si="70"/>
        <v>-63922.043576258453</v>
      </c>
      <c r="F934">
        <f t="shared" si="72"/>
        <v>843</v>
      </c>
      <c r="G934">
        <f t="shared" ca="1" si="71"/>
        <v>0.98699999999999999</v>
      </c>
    </row>
    <row r="935" spans="1:7">
      <c r="A935">
        <f t="shared" si="68"/>
        <v>840</v>
      </c>
      <c r="B935">
        <f t="shared" ca="1" si="69"/>
        <v>0.98</v>
      </c>
      <c r="C935" s="6">
        <f t="shared" ca="1" si="70"/>
        <v>-63922.043576258453</v>
      </c>
      <c r="F935">
        <f t="shared" si="72"/>
        <v>844</v>
      </c>
      <c r="G935">
        <f t="shared" ca="1" si="71"/>
        <v>0.61499999999999999</v>
      </c>
    </row>
    <row r="936" spans="1:7">
      <c r="A936">
        <f t="shared" si="68"/>
        <v>841</v>
      </c>
      <c r="B936">
        <f t="shared" ca="1" si="69"/>
        <v>0.43</v>
      </c>
      <c r="C936" s="6">
        <f t="shared" ca="1" si="70"/>
        <v>-63922.043576258453</v>
      </c>
      <c r="F936">
        <f t="shared" si="72"/>
        <v>845</v>
      </c>
      <c r="G936">
        <f t="shared" ca="1" si="71"/>
        <v>0.79500000000000004</v>
      </c>
    </row>
    <row r="937" spans="1:7">
      <c r="A937">
        <f t="shared" si="68"/>
        <v>842</v>
      </c>
      <c r="B937">
        <f t="shared" ca="1" si="69"/>
        <v>0.61</v>
      </c>
      <c r="C937" s="6">
        <f t="shared" ca="1" si="70"/>
        <v>-63922.043576258453</v>
      </c>
      <c r="F937">
        <f t="shared" si="72"/>
        <v>846</v>
      </c>
      <c r="G937">
        <f t="shared" ca="1" si="71"/>
        <v>0.97499999999999998</v>
      </c>
    </row>
    <row r="938" spans="1:7">
      <c r="A938">
        <f t="shared" si="68"/>
        <v>843</v>
      </c>
      <c r="B938">
        <f t="shared" ca="1" si="69"/>
        <v>0.48</v>
      </c>
      <c r="C938" s="6">
        <f t="shared" ca="1" si="70"/>
        <v>-63922.043576258453</v>
      </c>
      <c r="F938">
        <f t="shared" si="72"/>
        <v>847</v>
      </c>
      <c r="G938">
        <f t="shared" ca="1" si="71"/>
        <v>0.90700000000000003</v>
      </c>
    </row>
    <row r="939" spans="1:7">
      <c r="A939">
        <f t="shared" si="68"/>
        <v>844</v>
      </c>
      <c r="B939">
        <f t="shared" ca="1" si="69"/>
        <v>0.89</v>
      </c>
      <c r="C939" s="6">
        <f t="shared" ca="1" si="70"/>
        <v>-63922.043576258453</v>
      </c>
      <c r="F939">
        <f t="shared" si="72"/>
        <v>848</v>
      </c>
      <c r="G939">
        <f t="shared" ca="1" si="71"/>
        <v>0.61399999999999999</v>
      </c>
    </row>
    <row r="940" spans="1:7">
      <c r="A940">
        <f t="shared" si="68"/>
        <v>845</v>
      </c>
      <c r="B940">
        <f t="shared" ca="1" si="69"/>
        <v>0.68</v>
      </c>
      <c r="C940" s="6">
        <f t="shared" ca="1" si="70"/>
        <v>-63922.043576258453</v>
      </c>
      <c r="F940">
        <f t="shared" si="72"/>
        <v>849</v>
      </c>
      <c r="G940">
        <f t="shared" ca="1" si="71"/>
        <v>0.47699999999999998</v>
      </c>
    </row>
    <row r="941" spans="1:7">
      <c r="A941">
        <f t="shared" si="68"/>
        <v>846</v>
      </c>
      <c r="B941">
        <f t="shared" ca="1" si="69"/>
        <v>0.42</v>
      </c>
      <c r="C941" s="6">
        <f t="shared" ca="1" si="70"/>
        <v>-63922.043576258453</v>
      </c>
      <c r="F941">
        <f t="shared" si="72"/>
        <v>850</v>
      </c>
      <c r="G941">
        <f t="shared" ca="1" si="71"/>
        <v>0.45200000000000001</v>
      </c>
    </row>
    <row r="942" spans="1:7">
      <c r="A942">
        <f t="shared" si="68"/>
        <v>847</v>
      </c>
      <c r="B942">
        <f t="shared" ca="1" si="69"/>
        <v>0.97</v>
      </c>
      <c r="C942" s="6">
        <f t="shared" ca="1" si="70"/>
        <v>-63922.043576258453</v>
      </c>
      <c r="F942">
        <f t="shared" si="72"/>
        <v>851</v>
      </c>
      <c r="G942">
        <f t="shared" ca="1" si="71"/>
        <v>0.51500000000000001</v>
      </c>
    </row>
    <row r="943" spans="1:7">
      <c r="A943">
        <f t="shared" si="68"/>
        <v>848</v>
      </c>
      <c r="B943">
        <f t="shared" ca="1" si="69"/>
        <v>0.82</v>
      </c>
      <c r="C943" s="6">
        <f t="shared" ca="1" si="70"/>
        <v>-63922.043576258453</v>
      </c>
      <c r="F943">
        <f t="shared" si="72"/>
        <v>852</v>
      </c>
      <c r="G943">
        <f t="shared" ca="1" si="71"/>
        <v>0.86299999999999999</v>
      </c>
    </row>
    <row r="944" spans="1:7">
      <c r="A944">
        <f t="shared" si="68"/>
        <v>849</v>
      </c>
      <c r="B944">
        <f t="shared" ca="1" si="69"/>
        <v>0.59</v>
      </c>
      <c r="C944" s="6">
        <f t="shared" ca="1" si="70"/>
        <v>-63922.043576258453</v>
      </c>
      <c r="F944">
        <f t="shared" si="72"/>
        <v>853</v>
      </c>
      <c r="G944">
        <f t="shared" ca="1" si="71"/>
        <v>0.78300000000000003</v>
      </c>
    </row>
    <row r="945" spans="1:7">
      <c r="A945">
        <f t="shared" si="68"/>
        <v>850</v>
      </c>
      <c r="B945">
        <f t="shared" ca="1" si="69"/>
        <v>0.99</v>
      </c>
      <c r="C945" s="6">
        <f t="shared" ca="1" si="70"/>
        <v>-63922.043576258453</v>
      </c>
      <c r="F945">
        <f t="shared" si="72"/>
        <v>854</v>
      </c>
      <c r="G945">
        <f t="shared" ca="1" si="71"/>
        <v>0.77900000000000003</v>
      </c>
    </row>
    <row r="946" spans="1:7">
      <c r="A946">
        <f t="shared" si="68"/>
        <v>851</v>
      </c>
      <c r="B946">
        <f t="shared" ca="1" si="69"/>
        <v>0.91</v>
      </c>
      <c r="C946" s="6">
        <f t="shared" ca="1" si="70"/>
        <v>-63922.043576258453</v>
      </c>
      <c r="F946">
        <f t="shared" si="72"/>
        <v>855</v>
      </c>
      <c r="G946">
        <f t="shared" ca="1" si="71"/>
        <v>0.74199999999999999</v>
      </c>
    </row>
    <row r="947" spans="1:7">
      <c r="A947">
        <f t="shared" si="68"/>
        <v>852</v>
      </c>
      <c r="B947">
        <f t="shared" ca="1" si="69"/>
        <v>0.89</v>
      </c>
      <c r="C947" s="6">
        <f t="shared" ca="1" si="70"/>
        <v>-63922.043576258453</v>
      </c>
      <c r="F947">
        <f t="shared" si="72"/>
        <v>856</v>
      </c>
      <c r="G947">
        <f t="shared" ca="1" si="71"/>
        <v>0.47699999999999998</v>
      </c>
    </row>
    <row r="948" spans="1:7">
      <c r="A948">
        <f t="shared" si="68"/>
        <v>853</v>
      </c>
      <c r="B948">
        <f t="shared" ca="1" si="69"/>
        <v>0.85</v>
      </c>
      <c r="C948" s="6">
        <f t="shared" ca="1" si="70"/>
        <v>-63922.043576258453</v>
      </c>
      <c r="F948">
        <f t="shared" si="72"/>
        <v>857</v>
      </c>
      <c r="G948">
        <f t="shared" ca="1" si="71"/>
        <v>0.997</v>
      </c>
    </row>
    <row r="949" spans="1:7">
      <c r="A949">
        <f t="shared" si="68"/>
        <v>854</v>
      </c>
      <c r="B949">
        <f t="shared" ca="1" si="69"/>
        <v>0.59</v>
      </c>
      <c r="C949" s="6">
        <f t="shared" ca="1" si="70"/>
        <v>-63922.043576258453</v>
      </c>
      <c r="F949">
        <f t="shared" si="72"/>
        <v>858</v>
      </c>
      <c r="G949">
        <f t="shared" ca="1" si="71"/>
        <v>0.46899999999999997</v>
      </c>
    </row>
    <row r="950" spans="1:7">
      <c r="A950">
        <f t="shared" si="68"/>
        <v>855</v>
      </c>
      <c r="B950">
        <f t="shared" ca="1" si="69"/>
        <v>0.63</v>
      </c>
      <c r="C950" s="6">
        <f t="shared" ca="1" si="70"/>
        <v>-63922.043576258453</v>
      </c>
      <c r="F950">
        <f t="shared" si="72"/>
        <v>859</v>
      </c>
      <c r="G950">
        <f t="shared" ca="1" si="71"/>
        <v>0.92700000000000005</v>
      </c>
    </row>
    <row r="951" spans="1:7">
      <c r="A951">
        <f t="shared" si="68"/>
        <v>856</v>
      </c>
      <c r="B951">
        <f t="shared" ca="1" si="69"/>
        <v>0.93</v>
      </c>
      <c r="C951" s="6">
        <f t="shared" ca="1" si="70"/>
        <v>-63922.043576258453</v>
      </c>
      <c r="F951">
        <f t="shared" si="72"/>
        <v>860</v>
      </c>
      <c r="G951">
        <f t="shared" ca="1" si="71"/>
        <v>0.86899999999999999</v>
      </c>
    </row>
    <row r="952" spans="1:7">
      <c r="A952">
        <f t="shared" si="68"/>
        <v>857</v>
      </c>
      <c r="B952">
        <f t="shared" ca="1" si="69"/>
        <v>0.99</v>
      </c>
      <c r="C952" s="6">
        <f t="shared" ca="1" si="70"/>
        <v>-63922.043576258453</v>
      </c>
      <c r="F952">
        <f t="shared" si="72"/>
        <v>861</v>
      </c>
      <c r="G952">
        <f t="shared" ca="1" si="71"/>
        <v>0.94899999999999995</v>
      </c>
    </row>
    <row r="953" spans="1:7">
      <c r="A953">
        <f t="shared" si="68"/>
        <v>858</v>
      </c>
      <c r="B953">
        <f t="shared" ca="1" si="69"/>
        <v>0.87</v>
      </c>
      <c r="C953" s="6">
        <f t="shared" ca="1" si="70"/>
        <v>-63922.043576258453</v>
      </c>
      <c r="F953">
        <f t="shared" si="72"/>
        <v>862</v>
      </c>
      <c r="G953">
        <f t="shared" ca="1" si="71"/>
        <v>0.53900000000000003</v>
      </c>
    </row>
    <row r="954" spans="1:7">
      <c r="A954">
        <f t="shared" si="68"/>
        <v>859</v>
      </c>
      <c r="B954">
        <f t="shared" ca="1" si="69"/>
        <v>0.56000000000000005</v>
      </c>
      <c r="C954" s="6">
        <f t="shared" ca="1" si="70"/>
        <v>-63922.043576258453</v>
      </c>
      <c r="F954">
        <f t="shared" si="72"/>
        <v>863</v>
      </c>
      <c r="G954">
        <f t="shared" ca="1" si="71"/>
        <v>0.79600000000000004</v>
      </c>
    </row>
    <row r="955" spans="1:7">
      <c r="A955">
        <f t="shared" si="68"/>
        <v>860</v>
      </c>
      <c r="B955">
        <f t="shared" ca="1" si="69"/>
        <v>0.4</v>
      </c>
      <c r="C955" s="6">
        <f t="shared" ca="1" si="70"/>
        <v>-63922.043576258453</v>
      </c>
      <c r="F955">
        <f t="shared" si="72"/>
        <v>864</v>
      </c>
      <c r="G955">
        <f t="shared" ca="1" si="71"/>
        <v>0.76900000000000002</v>
      </c>
    </row>
    <row r="956" spans="1:7">
      <c r="A956">
        <f t="shared" si="68"/>
        <v>861</v>
      </c>
      <c r="B956">
        <f t="shared" ca="1" si="69"/>
        <v>0.54</v>
      </c>
      <c r="C956" s="6">
        <f t="shared" ca="1" si="70"/>
        <v>-63922.043576258453</v>
      </c>
      <c r="F956">
        <f t="shared" si="72"/>
        <v>865</v>
      </c>
      <c r="G956">
        <f t="shared" ca="1" si="71"/>
        <v>0.98</v>
      </c>
    </row>
    <row r="957" spans="1:7">
      <c r="A957">
        <f t="shared" si="68"/>
        <v>862</v>
      </c>
      <c r="B957">
        <f t="shared" ca="1" si="69"/>
        <v>0.81</v>
      </c>
      <c r="C957" s="6">
        <f t="shared" ca="1" si="70"/>
        <v>-63922.043576258453</v>
      </c>
      <c r="F957">
        <f t="shared" si="72"/>
        <v>866</v>
      </c>
      <c r="G957">
        <f t="shared" ca="1" si="71"/>
        <v>0.78200000000000003</v>
      </c>
    </row>
    <row r="958" spans="1:7">
      <c r="A958">
        <f t="shared" si="68"/>
        <v>863</v>
      </c>
      <c r="B958">
        <f t="shared" ca="1" si="69"/>
        <v>0.63</v>
      </c>
      <c r="C958" s="6">
        <f t="shared" ca="1" si="70"/>
        <v>-63922.043576258453</v>
      </c>
      <c r="F958">
        <f t="shared" si="72"/>
        <v>867</v>
      </c>
      <c r="G958">
        <f t="shared" ca="1" si="71"/>
        <v>1</v>
      </c>
    </row>
    <row r="959" spans="1:7">
      <c r="A959">
        <f t="shared" si="68"/>
        <v>864</v>
      </c>
      <c r="B959">
        <f t="shared" ca="1" si="69"/>
        <v>0.81</v>
      </c>
      <c r="C959" s="6">
        <f t="shared" ca="1" si="70"/>
        <v>-63922.043576258453</v>
      </c>
      <c r="F959">
        <f t="shared" si="72"/>
        <v>868</v>
      </c>
      <c r="G959">
        <f t="shared" ca="1" si="71"/>
        <v>0.95299999999999996</v>
      </c>
    </row>
    <row r="960" spans="1:7">
      <c r="A960">
        <f t="shared" si="68"/>
        <v>865</v>
      </c>
      <c r="B960">
        <f t="shared" ca="1" si="69"/>
        <v>0.91</v>
      </c>
      <c r="C960" s="6">
        <f t="shared" ca="1" si="70"/>
        <v>-63922.043576258453</v>
      </c>
      <c r="F960">
        <f t="shared" si="72"/>
        <v>869</v>
      </c>
      <c r="G960">
        <f t="shared" ca="1" si="71"/>
        <v>0.42399999999999999</v>
      </c>
    </row>
    <row r="961" spans="1:7">
      <c r="A961">
        <f t="shared" si="68"/>
        <v>866</v>
      </c>
      <c r="B961">
        <f t="shared" ca="1" si="69"/>
        <v>0.65</v>
      </c>
      <c r="C961" s="6">
        <f t="shared" ca="1" si="70"/>
        <v>-63922.043576258453</v>
      </c>
      <c r="F961">
        <f t="shared" si="72"/>
        <v>870</v>
      </c>
      <c r="G961">
        <f t="shared" ca="1" si="71"/>
        <v>0.82599999999999996</v>
      </c>
    </row>
    <row r="962" spans="1:7">
      <c r="A962">
        <f t="shared" si="68"/>
        <v>867</v>
      </c>
      <c r="B962">
        <f t="shared" ca="1" si="69"/>
        <v>0.64</v>
      </c>
      <c r="C962" s="6">
        <f t="shared" ca="1" si="70"/>
        <v>-63922.043576258453</v>
      </c>
      <c r="F962">
        <f t="shared" si="72"/>
        <v>871</v>
      </c>
      <c r="G962">
        <f t="shared" ca="1" si="71"/>
        <v>0.94499999999999995</v>
      </c>
    </row>
    <row r="963" spans="1:7">
      <c r="A963">
        <f t="shared" si="68"/>
        <v>868</v>
      </c>
      <c r="B963">
        <f t="shared" ca="1" si="69"/>
        <v>0.9</v>
      </c>
      <c r="C963" s="6">
        <f t="shared" ca="1" si="70"/>
        <v>-63922.043576258453</v>
      </c>
      <c r="F963">
        <f t="shared" si="72"/>
        <v>872</v>
      </c>
      <c r="G963">
        <f t="shared" ca="1" si="71"/>
        <v>0.91</v>
      </c>
    </row>
    <row r="964" spans="1:7">
      <c r="A964">
        <f t="shared" si="68"/>
        <v>869</v>
      </c>
      <c r="B964">
        <f t="shared" ca="1" si="69"/>
        <v>0.76</v>
      </c>
      <c r="C964" s="6">
        <f t="shared" ca="1" si="70"/>
        <v>-63922.043576258453</v>
      </c>
      <c r="F964">
        <f t="shared" si="72"/>
        <v>873</v>
      </c>
      <c r="G964">
        <f t="shared" ca="1" si="71"/>
        <v>0.74399999999999999</v>
      </c>
    </row>
    <row r="965" spans="1:7">
      <c r="A965">
        <f t="shared" si="68"/>
        <v>870</v>
      </c>
      <c r="B965">
        <f t="shared" ca="1" si="69"/>
        <v>0.8</v>
      </c>
      <c r="C965" s="6">
        <f t="shared" ca="1" si="70"/>
        <v>-63922.043576258453</v>
      </c>
      <c r="F965">
        <f t="shared" si="72"/>
        <v>874</v>
      </c>
      <c r="G965">
        <f t="shared" ca="1" si="71"/>
        <v>0.89800000000000002</v>
      </c>
    </row>
    <row r="966" spans="1:7">
      <c r="A966">
        <f t="shared" si="68"/>
        <v>871</v>
      </c>
      <c r="B966">
        <f t="shared" ca="1" si="69"/>
        <v>0.56999999999999995</v>
      </c>
      <c r="C966" s="6">
        <f t="shared" ca="1" si="70"/>
        <v>-63922.043576258453</v>
      </c>
      <c r="F966">
        <f t="shared" si="72"/>
        <v>875</v>
      </c>
      <c r="G966">
        <f t="shared" ca="1" si="71"/>
        <v>0.94299999999999995</v>
      </c>
    </row>
    <row r="967" spans="1:7">
      <c r="A967">
        <f t="shared" si="68"/>
        <v>872</v>
      </c>
      <c r="B967">
        <f t="shared" ca="1" si="69"/>
        <v>0.45</v>
      </c>
      <c r="C967" s="6">
        <f t="shared" ca="1" si="70"/>
        <v>-63922.043576258453</v>
      </c>
      <c r="F967">
        <f t="shared" si="72"/>
        <v>876</v>
      </c>
      <c r="G967">
        <f t="shared" ca="1" si="71"/>
        <v>0.92100000000000004</v>
      </c>
    </row>
    <row r="968" spans="1:7">
      <c r="A968">
        <f t="shared" si="68"/>
        <v>873</v>
      </c>
      <c r="B968">
        <f t="shared" ca="1" si="69"/>
        <v>0.86</v>
      </c>
      <c r="C968" s="6">
        <f t="shared" ca="1" si="70"/>
        <v>-63922.043576258453</v>
      </c>
      <c r="F968">
        <f t="shared" si="72"/>
        <v>877</v>
      </c>
      <c r="G968">
        <f t="shared" ca="1" si="71"/>
        <v>0.498</v>
      </c>
    </row>
    <row r="969" spans="1:7">
      <c r="A969">
        <f t="shared" si="68"/>
        <v>874</v>
      </c>
      <c r="B969">
        <f t="shared" ca="1" si="69"/>
        <v>0.43</v>
      </c>
      <c r="C969" s="6">
        <f t="shared" ca="1" si="70"/>
        <v>-63922.043576258453</v>
      </c>
      <c r="F969">
        <f t="shared" si="72"/>
        <v>878</v>
      </c>
      <c r="G969">
        <f t="shared" ca="1" si="71"/>
        <v>0.95899999999999996</v>
      </c>
    </row>
    <row r="970" spans="1:7">
      <c r="A970">
        <f t="shared" si="68"/>
        <v>875</v>
      </c>
      <c r="B970">
        <f t="shared" ca="1" si="69"/>
        <v>0.66</v>
      </c>
      <c r="C970" s="6">
        <f t="shared" ca="1" si="70"/>
        <v>-63922.043576258453</v>
      </c>
      <c r="F970">
        <f t="shared" si="72"/>
        <v>879</v>
      </c>
      <c r="G970">
        <f t="shared" ca="1" si="71"/>
        <v>0.94</v>
      </c>
    </row>
    <row r="971" spans="1:7">
      <c r="A971">
        <f t="shared" si="68"/>
        <v>876</v>
      </c>
      <c r="B971">
        <f t="shared" ca="1" si="69"/>
        <v>0.44</v>
      </c>
      <c r="C971" s="6">
        <f t="shared" ca="1" si="70"/>
        <v>-63922.043576258453</v>
      </c>
      <c r="F971">
        <f t="shared" si="72"/>
        <v>880</v>
      </c>
      <c r="G971">
        <f t="shared" ca="1" si="71"/>
        <v>0.66500000000000004</v>
      </c>
    </row>
    <row r="972" spans="1:7">
      <c r="A972">
        <f t="shared" si="68"/>
        <v>877</v>
      </c>
      <c r="B972">
        <f t="shared" ca="1" si="69"/>
        <v>0.98</v>
      </c>
      <c r="C972" s="6">
        <f t="shared" ca="1" si="70"/>
        <v>-63922.043576258453</v>
      </c>
      <c r="F972">
        <f t="shared" si="72"/>
        <v>881</v>
      </c>
      <c r="G972">
        <f t="shared" ca="1" si="71"/>
        <v>0.89400000000000002</v>
      </c>
    </row>
    <row r="973" spans="1:7">
      <c r="A973">
        <f t="shared" si="68"/>
        <v>878</v>
      </c>
      <c r="B973">
        <f t="shared" ca="1" si="69"/>
        <v>0.7</v>
      </c>
      <c r="C973" s="6">
        <f t="shared" ca="1" si="70"/>
        <v>-63922.043576258453</v>
      </c>
      <c r="F973">
        <f t="shared" si="72"/>
        <v>882</v>
      </c>
      <c r="G973">
        <f t="shared" ca="1" si="71"/>
        <v>0.502</v>
      </c>
    </row>
    <row r="974" spans="1:7">
      <c r="A974">
        <f t="shared" si="68"/>
        <v>879</v>
      </c>
      <c r="B974">
        <f t="shared" ca="1" si="69"/>
        <v>0.71</v>
      </c>
      <c r="C974" s="6">
        <f t="shared" ca="1" si="70"/>
        <v>-63922.043576258453</v>
      </c>
      <c r="F974">
        <f t="shared" si="72"/>
        <v>883</v>
      </c>
      <c r="G974">
        <f t="shared" ca="1" si="71"/>
        <v>0.98</v>
      </c>
    </row>
    <row r="975" spans="1:7">
      <c r="A975">
        <f t="shared" si="68"/>
        <v>880</v>
      </c>
      <c r="B975">
        <f t="shared" ca="1" si="69"/>
        <v>0.66</v>
      </c>
      <c r="C975" s="6">
        <f t="shared" ca="1" si="70"/>
        <v>-63922.043576258453</v>
      </c>
      <c r="F975">
        <f t="shared" si="72"/>
        <v>884</v>
      </c>
      <c r="G975">
        <f t="shared" ca="1" si="71"/>
        <v>0.51900000000000002</v>
      </c>
    </row>
    <row r="976" spans="1:7">
      <c r="A976">
        <f t="shared" si="68"/>
        <v>881</v>
      </c>
      <c r="B976">
        <f t="shared" ca="1" si="69"/>
        <v>0.43</v>
      </c>
      <c r="C976" s="6">
        <f t="shared" ca="1" si="70"/>
        <v>-63922.043576258453</v>
      </c>
      <c r="F976">
        <f t="shared" si="72"/>
        <v>885</v>
      </c>
      <c r="G976">
        <f t="shared" ca="1" si="71"/>
        <v>0.497</v>
      </c>
    </row>
    <row r="977" spans="1:7">
      <c r="A977">
        <f t="shared" si="68"/>
        <v>882</v>
      </c>
      <c r="B977">
        <f t="shared" ca="1" si="69"/>
        <v>0.41</v>
      </c>
      <c r="C977" s="6">
        <f t="shared" ca="1" si="70"/>
        <v>-63922.043576258453</v>
      </c>
      <c r="F977">
        <f t="shared" si="72"/>
        <v>886</v>
      </c>
      <c r="G977">
        <f t="shared" ca="1" si="71"/>
        <v>0.42899999999999999</v>
      </c>
    </row>
    <row r="978" spans="1:7">
      <c r="A978">
        <f t="shared" si="68"/>
        <v>883</v>
      </c>
      <c r="B978">
        <f t="shared" ca="1" si="69"/>
        <v>0.98</v>
      </c>
      <c r="C978" s="6">
        <f t="shared" ca="1" si="70"/>
        <v>-63922.043576258453</v>
      </c>
      <c r="F978">
        <f t="shared" si="72"/>
        <v>887</v>
      </c>
      <c r="G978">
        <f t="shared" ca="1" si="71"/>
        <v>0.92900000000000005</v>
      </c>
    </row>
    <row r="979" spans="1:7">
      <c r="A979">
        <f t="shared" si="68"/>
        <v>884</v>
      </c>
      <c r="B979">
        <f t="shared" ca="1" si="69"/>
        <v>0.63</v>
      </c>
      <c r="C979" s="6">
        <f t="shared" ca="1" si="70"/>
        <v>-63922.043576258453</v>
      </c>
      <c r="F979">
        <f t="shared" si="72"/>
        <v>888</v>
      </c>
      <c r="G979">
        <f t="shared" ca="1" si="71"/>
        <v>0.55600000000000005</v>
      </c>
    </row>
    <row r="980" spans="1:7">
      <c r="A980">
        <f t="shared" si="68"/>
        <v>885</v>
      </c>
      <c r="B980">
        <f t="shared" ca="1" si="69"/>
        <v>0.59</v>
      </c>
      <c r="C980" s="6">
        <f t="shared" ca="1" si="70"/>
        <v>-63922.043576258453</v>
      </c>
      <c r="F980">
        <f t="shared" si="72"/>
        <v>889</v>
      </c>
      <c r="G980">
        <f t="shared" ca="1" si="71"/>
        <v>0.93100000000000005</v>
      </c>
    </row>
    <row r="981" spans="1:7">
      <c r="A981">
        <f t="shared" si="68"/>
        <v>886</v>
      </c>
      <c r="B981">
        <f t="shared" ca="1" si="69"/>
        <v>0.99</v>
      </c>
      <c r="C981" s="6">
        <f t="shared" ca="1" si="70"/>
        <v>-63922.043576258453</v>
      </c>
      <c r="F981">
        <f t="shared" si="72"/>
        <v>890</v>
      </c>
      <c r="G981">
        <f t="shared" ca="1" si="71"/>
        <v>0.5</v>
      </c>
    </row>
    <row r="982" spans="1:7">
      <c r="A982">
        <f t="shared" si="68"/>
        <v>887</v>
      </c>
      <c r="B982">
        <f t="shared" ca="1" si="69"/>
        <v>0.43</v>
      </c>
      <c r="C982" s="6">
        <f t="shared" ca="1" si="70"/>
        <v>-63922.043576258453</v>
      </c>
      <c r="F982">
        <f t="shared" si="72"/>
        <v>891</v>
      </c>
      <c r="G982">
        <f t="shared" ca="1" si="71"/>
        <v>0.52100000000000002</v>
      </c>
    </row>
    <row r="983" spans="1:7">
      <c r="A983">
        <f t="shared" si="68"/>
        <v>888</v>
      </c>
      <c r="B983">
        <f t="shared" ca="1" si="69"/>
        <v>0.88</v>
      </c>
      <c r="C983" s="6">
        <f t="shared" ca="1" si="70"/>
        <v>-63922.043576258453</v>
      </c>
      <c r="F983">
        <f t="shared" si="72"/>
        <v>892</v>
      </c>
      <c r="G983">
        <f t="shared" ca="1" si="71"/>
        <v>0.79600000000000004</v>
      </c>
    </row>
    <row r="984" spans="1:7">
      <c r="A984">
        <f t="shared" si="68"/>
        <v>889</v>
      </c>
      <c r="B984">
        <f t="shared" ca="1" si="69"/>
        <v>0.89</v>
      </c>
      <c r="C984" s="6">
        <f t="shared" ca="1" si="70"/>
        <v>-63922.043576258453</v>
      </c>
      <c r="F984">
        <f t="shared" si="72"/>
        <v>893</v>
      </c>
      <c r="G984">
        <f t="shared" ca="1" si="71"/>
        <v>0.49199999999999999</v>
      </c>
    </row>
    <row r="985" spans="1:7">
      <c r="A985">
        <f t="shared" si="68"/>
        <v>890</v>
      </c>
      <c r="B985">
        <f t="shared" ca="1" si="69"/>
        <v>0.99</v>
      </c>
      <c r="C985" s="6">
        <f t="shared" ca="1" si="70"/>
        <v>-63922.043576258453</v>
      </c>
      <c r="F985">
        <f t="shared" si="72"/>
        <v>894</v>
      </c>
      <c r="G985">
        <f t="shared" ca="1" si="71"/>
        <v>0.79600000000000004</v>
      </c>
    </row>
    <row r="986" spans="1:7">
      <c r="A986">
        <f t="shared" si="68"/>
        <v>891</v>
      </c>
      <c r="B986">
        <f t="shared" ca="1" si="69"/>
        <v>0.85</v>
      </c>
      <c r="C986" s="6">
        <f t="shared" ca="1" si="70"/>
        <v>-63922.043576258453</v>
      </c>
      <c r="F986">
        <f t="shared" si="72"/>
        <v>895</v>
      </c>
      <c r="G986">
        <f t="shared" ca="1" si="71"/>
        <v>0.65700000000000003</v>
      </c>
    </row>
    <row r="987" spans="1:7">
      <c r="A987">
        <f t="shared" ref="A987:A1050" si="73">ROW()-95</f>
        <v>892</v>
      </c>
      <c r="B987">
        <f t="shared" ref="B987:B1050" ca="1" si="74">RANDBETWEEN(40,100)/100</f>
        <v>0.98</v>
      </c>
      <c r="C987" s="6">
        <f t="shared" ref="C987:C1050" ca="1" si="75">$B$71 + 0*B987</f>
        <v>-63922.043576258453</v>
      </c>
      <c r="F987">
        <f t="shared" si="72"/>
        <v>896</v>
      </c>
      <c r="G987">
        <f t="shared" ca="1" si="71"/>
        <v>0.52500000000000002</v>
      </c>
    </row>
    <row r="988" spans="1:7">
      <c r="A988">
        <f t="shared" si="73"/>
        <v>893</v>
      </c>
      <c r="B988">
        <f t="shared" ca="1" si="74"/>
        <v>0.67</v>
      </c>
      <c r="C988" s="6">
        <f t="shared" ca="1" si="75"/>
        <v>-63922.043576258453</v>
      </c>
      <c r="F988">
        <f t="shared" si="72"/>
        <v>897</v>
      </c>
      <c r="G988">
        <f t="shared" ca="1" si="71"/>
        <v>0.88500000000000001</v>
      </c>
    </row>
    <row r="989" spans="1:7">
      <c r="A989">
        <f t="shared" si="73"/>
        <v>894</v>
      </c>
      <c r="B989">
        <f t="shared" ca="1" si="74"/>
        <v>0.79</v>
      </c>
      <c r="C989" s="6">
        <f t="shared" ca="1" si="75"/>
        <v>-63922.043576258453</v>
      </c>
      <c r="F989">
        <f t="shared" si="72"/>
        <v>898</v>
      </c>
      <c r="G989">
        <f t="shared" ref="G989:G1052" ca="1" si="76">ROUND(RAND()*(1-0.4)+0.4,3)</f>
        <v>0.75600000000000001</v>
      </c>
    </row>
    <row r="990" spans="1:7">
      <c r="A990">
        <f t="shared" si="73"/>
        <v>895</v>
      </c>
      <c r="B990">
        <f t="shared" ca="1" si="74"/>
        <v>0.78</v>
      </c>
      <c r="C990" s="6">
        <f t="shared" ca="1" si="75"/>
        <v>-63922.043576258453</v>
      </c>
      <c r="F990">
        <f t="shared" ref="F990:F1053" si="77">F989+1</f>
        <v>899</v>
      </c>
      <c r="G990">
        <f t="shared" ca="1" si="76"/>
        <v>0.89200000000000002</v>
      </c>
    </row>
    <row r="991" spans="1:7">
      <c r="A991">
        <f t="shared" si="73"/>
        <v>896</v>
      </c>
      <c r="B991">
        <f t="shared" ca="1" si="74"/>
        <v>0.65</v>
      </c>
      <c r="C991" s="6">
        <f t="shared" ca="1" si="75"/>
        <v>-63922.043576258453</v>
      </c>
      <c r="F991">
        <f t="shared" si="77"/>
        <v>900</v>
      </c>
      <c r="G991">
        <f t="shared" ca="1" si="76"/>
        <v>0.94799999999999995</v>
      </c>
    </row>
    <row r="992" spans="1:7">
      <c r="A992">
        <f t="shared" si="73"/>
        <v>897</v>
      </c>
      <c r="B992">
        <f t="shared" ca="1" si="74"/>
        <v>0.79</v>
      </c>
      <c r="C992" s="6">
        <f t="shared" ca="1" si="75"/>
        <v>-63922.043576258453</v>
      </c>
      <c r="F992">
        <f t="shared" si="77"/>
        <v>901</v>
      </c>
      <c r="G992">
        <f t="shared" ca="1" si="76"/>
        <v>0.86299999999999999</v>
      </c>
    </row>
    <row r="993" spans="1:7">
      <c r="A993">
        <f t="shared" si="73"/>
        <v>898</v>
      </c>
      <c r="B993">
        <f t="shared" ca="1" si="74"/>
        <v>0.51</v>
      </c>
      <c r="C993" s="6">
        <f t="shared" ca="1" si="75"/>
        <v>-63922.043576258453</v>
      </c>
      <c r="F993">
        <f t="shared" si="77"/>
        <v>902</v>
      </c>
      <c r="G993">
        <f t="shared" ca="1" si="76"/>
        <v>0.5</v>
      </c>
    </row>
    <row r="994" spans="1:7">
      <c r="A994">
        <f t="shared" si="73"/>
        <v>899</v>
      </c>
      <c r="B994">
        <f t="shared" ca="1" si="74"/>
        <v>0.71</v>
      </c>
      <c r="C994" s="6">
        <f t="shared" ca="1" si="75"/>
        <v>-63922.043576258453</v>
      </c>
      <c r="F994">
        <f t="shared" si="77"/>
        <v>903</v>
      </c>
      <c r="G994">
        <f t="shared" ca="1" si="76"/>
        <v>0.89300000000000002</v>
      </c>
    </row>
    <row r="995" spans="1:7">
      <c r="A995">
        <f t="shared" si="73"/>
        <v>900</v>
      </c>
      <c r="B995">
        <f t="shared" ca="1" si="74"/>
        <v>0.55000000000000004</v>
      </c>
      <c r="C995" s="6">
        <f t="shared" ca="1" si="75"/>
        <v>-63922.043576258453</v>
      </c>
      <c r="F995">
        <f t="shared" si="77"/>
        <v>904</v>
      </c>
      <c r="G995">
        <f t="shared" ca="1" si="76"/>
        <v>0.752</v>
      </c>
    </row>
    <row r="996" spans="1:7">
      <c r="A996">
        <f t="shared" si="73"/>
        <v>901</v>
      </c>
      <c r="B996">
        <f t="shared" ca="1" si="74"/>
        <v>0.54</v>
      </c>
      <c r="C996" s="6">
        <f t="shared" ca="1" si="75"/>
        <v>-63922.043576258453</v>
      </c>
      <c r="F996">
        <f t="shared" si="77"/>
        <v>905</v>
      </c>
      <c r="G996">
        <f t="shared" ca="1" si="76"/>
        <v>0.97199999999999998</v>
      </c>
    </row>
    <row r="997" spans="1:7">
      <c r="A997">
        <f t="shared" si="73"/>
        <v>902</v>
      </c>
      <c r="B997">
        <f t="shared" ca="1" si="74"/>
        <v>0.81</v>
      </c>
      <c r="C997" s="6">
        <f t="shared" ca="1" si="75"/>
        <v>-63922.043576258453</v>
      </c>
      <c r="F997">
        <f t="shared" si="77"/>
        <v>906</v>
      </c>
      <c r="G997">
        <f t="shared" ca="1" si="76"/>
        <v>0.438</v>
      </c>
    </row>
    <row r="998" spans="1:7">
      <c r="A998">
        <f t="shared" si="73"/>
        <v>903</v>
      </c>
      <c r="B998">
        <f t="shared" ca="1" si="74"/>
        <v>0.68</v>
      </c>
      <c r="C998" s="6">
        <f t="shared" ca="1" si="75"/>
        <v>-63922.043576258453</v>
      </c>
      <c r="F998">
        <f t="shared" si="77"/>
        <v>907</v>
      </c>
      <c r="G998">
        <f t="shared" ca="1" si="76"/>
        <v>0.437</v>
      </c>
    </row>
    <row r="999" spans="1:7">
      <c r="A999">
        <f t="shared" si="73"/>
        <v>904</v>
      </c>
      <c r="B999">
        <f t="shared" ca="1" si="74"/>
        <v>0.89</v>
      </c>
      <c r="C999" s="6">
        <f t="shared" ca="1" si="75"/>
        <v>-63922.043576258453</v>
      </c>
      <c r="F999">
        <f t="shared" si="77"/>
        <v>908</v>
      </c>
      <c r="G999">
        <f t="shared" ca="1" si="76"/>
        <v>0.80600000000000005</v>
      </c>
    </row>
    <row r="1000" spans="1:7">
      <c r="A1000">
        <f t="shared" si="73"/>
        <v>905</v>
      </c>
      <c r="B1000">
        <f t="shared" ca="1" si="74"/>
        <v>0.86</v>
      </c>
      <c r="C1000" s="6">
        <f t="shared" ca="1" si="75"/>
        <v>-63922.043576258453</v>
      </c>
      <c r="F1000">
        <f t="shared" si="77"/>
        <v>909</v>
      </c>
      <c r="G1000">
        <f t="shared" ca="1" si="76"/>
        <v>0.66500000000000004</v>
      </c>
    </row>
    <row r="1001" spans="1:7">
      <c r="A1001">
        <f t="shared" si="73"/>
        <v>906</v>
      </c>
      <c r="B1001">
        <f t="shared" ca="1" si="74"/>
        <v>0.59</v>
      </c>
      <c r="C1001" s="6">
        <f t="shared" ca="1" si="75"/>
        <v>-63922.043576258453</v>
      </c>
      <c r="F1001">
        <f t="shared" si="77"/>
        <v>910</v>
      </c>
      <c r="G1001">
        <f t="shared" ca="1" si="76"/>
        <v>0.63400000000000001</v>
      </c>
    </row>
    <row r="1002" spans="1:7">
      <c r="A1002">
        <f t="shared" si="73"/>
        <v>907</v>
      </c>
      <c r="B1002">
        <f t="shared" ca="1" si="74"/>
        <v>0.65</v>
      </c>
      <c r="C1002" s="6">
        <f t="shared" ca="1" si="75"/>
        <v>-63922.043576258453</v>
      </c>
      <c r="F1002">
        <f t="shared" si="77"/>
        <v>911</v>
      </c>
      <c r="G1002">
        <f t="shared" ca="1" si="76"/>
        <v>0.60899999999999999</v>
      </c>
    </row>
    <row r="1003" spans="1:7">
      <c r="A1003">
        <f t="shared" si="73"/>
        <v>908</v>
      </c>
      <c r="B1003">
        <f t="shared" ca="1" si="74"/>
        <v>0.49</v>
      </c>
      <c r="C1003" s="6">
        <f t="shared" ca="1" si="75"/>
        <v>-63922.043576258453</v>
      </c>
      <c r="F1003">
        <f t="shared" si="77"/>
        <v>912</v>
      </c>
      <c r="G1003">
        <f t="shared" ca="1" si="76"/>
        <v>0.66200000000000003</v>
      </c>
    </row>
    <row r="1004" spans="1:7">
      <c r="A1004">
        <f t="shared" si="73"/>
        <v>909</v>
      </c>
      <c r="B1004">
        <f t="shared" ca="1" si="74"/>
        <v>0.4</v>
      </c>
      <c r="C1004" s="6">
        <f t="shared" ca="1" si="75"/>
        <v>-63922.043576258453</v>
      </c>
      <c r="F1004">
        <f t="shared" si="77"/>
        <v>913</v>
      </c>
      <c r="G1004">
        <f t="shared" ca="1" si="76"/>
        <v>0.68500000000000005</v>
      </c>
    </row>
    <row r="1005" spans="1:7">
      <c r="A1005">
        <f t="shared" si="73"/>
        <v>910</v>
      </c>
      <c r="B1005">
        <f t="shared" ca="1" si="74"/>
        <v>0.77</v>
      </c>
      <c r="C1005" s="6">
        <f t="shared" ca="1" si="75"/>
        <v>-63922.043576258453</v>
      </c>
      <c r="F1005">
        <f t="shared" si="77"/>
        <v>914</v>
      </c>
      <c r="G1005">
        <f t="shared" ca="1" si="76"/>
        <v>0.93</v>
      </c>
    </row>
    <row r="1006" spans="1:7">
      <c r="A1006">
        <f t="shared" si="73"/>
        <v>911</v>
      </c>
      <c r="B1006">
        <f t="shared" ca="1" si="74"/>
        <v>0.52</v>
      </c>
      <c r="C1006" s="6">
        <f t="shared" ca="1" si="75"/>
        <v>-63922.043576258453</v>
      </c>
      <c r="F1006">
        <f t="shared" si="77"/>
        <v>915</v>
      </c>
      <c r="G1006">
        <f t="shared" ca="1" si="76"/>
        <v>0.88700000000000001</v>
      </c>
    </row>
    <row r="1007" spans="1:7">
      <c r="A1007">
        <f t="shared" si="73"/>
        <v>912</v>
      </c>
      <c r="B1007">
        <f t="shared" ca="1" si="74"/>
        <v>0.62</v>
      </c>
      <c r="C1007" s="6">
        <f t="shared" ca="1" si="75"/>
        <v>-63922.043576258453</v>
      </c>
      <c r="F1007">
        <f t="shared" si="77"/>
        <v>916</v>
      </c>
      <c r="G1007">
        <f t="shared" ca="1" si="76"/>
        <v>0.41699999999999998</v>
      </c>
    </row>
    <row r="1008" spans="1:7">
      <c r="A1008">
        <f t="shared" si="73"/>
        <v>913</v>
      </c>
      <c r="B1008">
        <f t="shared" ca="1" si="74"/>
        <v>0.57999999999999996</v>
      </c>
      <c r="C1008" s="6">
        <f t="shared" ca="1" si="75"/>
        <v>-63922.043576258453</v>
      </c>
      <c r="F1008">
        <f t="shared" si="77"/>
        <v>917</v>
      </c>
      <c r="G1008">
        <f t="shared" ca="1" si="76"/>
        <v>0.90500000000000003</v>
      </c>
    </row>
    <row r="1009" spans="1:7">
      <c r="A1009">
        <f t="shared" si="73"/>
        <v>914</v>
      </c>
      <c r="B1009">
        <f t="shared" ca="1" si="74"/>
        <v>0.77</v>
      </c>
      <c r="C1009" s="6">
        <f t="shared" ca="1" si="75"/>
        <v>-63922.043576258453</v>
      </c>
      <c r="F1009">
        <f t="shared" si="77"/>
        <v>918</v>
      </c>
      <c r="G1009">
        <f t="shared" ca="1" si="76"/>
        <v>0.69899999999999995</v>
      </c>
    </row>
    <row r="1010" spans="1:7">
      <c r="A1010">
        <f t="shared" si="73"/>
        <v>915</v>
      </c>
      <c r="B1010">
        <f t="shared" ca="1" si="74"/>
        <v>0.89</v>
      </c>
      <c r="C1010" s="6">
        <f t="shared" ca="1" si="75"/>
        <v>-63922.043576258453</v>
      </c>
      <c r="F1010">
        <f t="shared" si="77"/>
        <v>919</v>
      </c>
      <c r="G1010">
        <f t="shared" ca="1" si="76"/>
        <v>0.89700000000000002</v>
      </c>
    </row>
    <row r="1011" spans="1:7">
      <c r="A1011">
        <f t="shared" si="73"/>
        <v>916</v>
      </c>
      <c r="B1011">
        <f t="shared" ca="1" si="74"/>
        <v>0.91</v>
      </c>
      <c r="C1011" s="6">
        <f t="shared" ca="1" si="75"/>
        <v>-63922.043576258453</v>
      </c>
      <c r="F1011">
        <f t="shared" si="77"/>
        <v>920</v>
      </c>
      <c r="G1011">
        <f t="shared" ca="1" si="76"/>
        <v>0.41</v>
      </c>
    </row>
    <row r="1012" spans="1:7">
      <c r="A1012">
        <f t="shared" si="73"/>
        <v>917</v>
      </c>
      <c r="B1012">
        <f t="shared" ca="1" si="74"/>
        <v>0.74</v>
      </c>
      <c r="C1012" s="6">
        <f t="shared" ca="1" si="75"/>
        <v>-63922.043576258453</v>
      </c>
      <c r="F1012">
        <f t="shared" si="77"/>
        <v>921</v>
      </c>
      <c r="G1012">
        <f t="shared" ca="1" si="76"/>
        <v>0.441</v>
      </c>
    </row>
    <row r="1013" spans="1:7">
      <c r="A1013">
        <f t="shared" si="73"/>
        <v>918</v>
      </c>
      <c r="B1013">
        <f t="shared" ca="1" si="74"/>
        <v>0.94</v>
      </c>
      <c r="C1013" s="6">
        <f t="shared" ca="1" si="75"/>
        <v>-63922.043576258453</v>
      </c>
      <c r="F1013">
        <f t="shared" si="77"/>
        <v>922</v>
      </c>
      <c r="G1013">
        <f t="shared" ca="1" si="76"/>
        <v>0.80900000000000005</v>
      </c>
    </row>
    <row r="1014" spans="1:7">
      <c r="A1014">
        <f t="shared" si="73"/>
        <v>919</v>
      </c>
      <c r="B1014">
        <f t="shared" ca="1" si="74"/>
        <v>0.89</v>
      </c>
      <c r="C1014" s="6">
        <f t="shared" ca="1" si="75"/>
        <v>-63922.043576258453</v>
      </c>
      <c r="F1014">
        <f t="shared" si="77"/>
        <v>923</v>
      </c>
      <c r="G1014">
        <f t="shared" ca="1" si="76"/>
        <v>0.70599999999999996</v>
      </c>
    </row>
    <row r="1015" spans="1:7">
      <c r="A1015">
        <f t="shared" si="73"/>
        <v>920</v>
      </c>
      <c r="B1015">
        <f t="shared" ca="1" si="74"/>
        <v>0.56000000000000005</v>
      </c>
      <c r="C1015" s="6">
        <f t="shared" ca="1" si="75"/>
        <v>-63922.043576258453</v>
      </c>
      <c r="F1015">
        <f t="shared" si="77"/>
        <v>924</v>
      </c>
      <c r="G1015">
        <f t="shared" ca="1" si="76"/>
        <v>0.64800000000000002</v>
      </c>
    </row>
    <row r="1016" spans="1:7">
      <c r="A1016">
        <f t="shared" si="73"/>
        <v>921</v>
      </c>
      <c r="B1016">
        <f t="shared" ca="1" si="74"/>
        <v>0.54</v>
      </c>
      <c r="C1016" s="6">
        <f t="shared" ca="1" si="75"/>
        <v>-63922.043576258453</v>
      </c>
      <c r="F1016">
        <f t="shared" si="77"/>
        <v>925</v>
      </c>
      <c r="G1016">
        <f t="shared" ca="1" si="76"/>
        <v>0.56399999999999995</v>
      </c>
    </row>
    <row r="1017" spans="1:7">
      <c r="A1017">
        <f t="shared" si="73"/>
        <v>922</v>
      </c>
      <c r="B1017">
        <f t="shared" ca="1" si="74"/>
        <v>0.7</v>
      </c>
      <c r="C1017" s="6">
        <f t="shared" ca="1" si="75"/>
        <v>-63922.043576258453</v>
      </c>
      <c r="F1017">
        <f t="shared" si="77"/>
        <v>926</v>
      </c>
      <c r="G1017">
        <f t="shared" ca="1" si="76"/>
        <v>0.41799999999999998</v>
      </c>
    </row>
    <row r="1018" spans="1:7">
      <c r="A1018">
        <f t="shared" si="73"/>
        <v>923</v>
      </c>
      <c r="B1018">
        <f t="shared" ca="1" si="74"/>
        <v>0.68</v>
      </c>
      <c r="C1018" s="6">
        <f t="shared" ca="1" si="75"/>
        <v>-63922.043576258453</v>
      </c>
      <c r="F1018">
        <f t="shared" si="77"/>
        <v>927</v>
      </c>
      <c r="G1018">
        <f t="shared" ca="1" si="76"/>
        <v>0.61899999999999999</v>
      </c>
    </row>
    <row r="1019" spans="1:7">
      <c r="A1019">
        <f t="shared" si="73"/>
        <v>924</v>
      </c>
      <c r="B1019">
        <f t="shared" ca="1" si="74"/>
        <v>0.92</v>
      </c>
      <c r="C1019" s="6">
        <f t="shared" ca="1" si="75"/>
        <v>-63922.043576258453</v>
      </c>
      <c r="F1019">
        <f t="shared" si="77"/>
        <v>928</v>
      </c>
      <c r="G1019">
        <f t="shared" ca="1" si="76"/>
        <v>0.88300000000000001</v>
      </c>
    </row>
    <row r="1020" spans="1:7">
      <c r="A1020">
        <f t="shared" si="73"/>
        <v>925</v>
      </c>
      <c r="B1020">
        <f t="shared" ca="1" si="74"/>
        <v>0.67</v>
      </c>
      <c r="C1020" s="6">
        <f t="shared" ca="1" si="75"/>
        <v>-63922.043576258453</v>
      </c>
      <c r="F1020">
        <f t="shared" si="77"/>
        <v>929</v>
      </c>
      <c r="G1020">
        <f t="shared" ca="1" si="76"/>
        <v>0.63500000000000001</v>
      </c>
    </row>
    <row r="1021" spans="1:7">
      <c r="A1021">
        <f t="shared" si="73"/>
        <v>926</v>
      </c>
      <c r="B1021">
        <f t="shared" ca="1" si="74"/>
        <v>0.57999999999999996</v>
      </c>
      <c r="C1021" s="6">
        <f t="shared" ca="1" si="75"/>
        <v>-63922.043576258453</v>
      </c>
      <c r="F1021">
        <f t="shared" si="77"/>
        <v>930</v>
      </c>
      <c r="G1021">
        <f t="shared" ca="1" si="76"/>
        <v>0.71</v>
      </c>
    </row>
    <row r="1022" spans="1:7">
      <c r="A1022">
        <f t="shared" si="73"/>
        <v>927</v>
      </c>
      <c r="B1022">
        <f t="shared" ca="1" si="74"/>
        <v>0.94</v>
      </c>
      <c r="C1022" s="6">
        <f t="shared" ca="1" si="75"/>
        <v>-63922.043576258453</v>
      </c>
      <c r="F1022">
        <f t="shared" si="77"/>
        <v>931</v>
      </c>
      <c r="G1022">
        <f t="shared" ca="1" si="76"/>
        <v>0.88700000000000001</v>
      </c>
    </row>
    <row r="1023" spans="1:7">
      <c r="A1023">
        <f t="shared" si="73"/>
        <v>928</v>
      </c>
      <c r="B1023">
        <f t="shared" ca="1" si="74"/>
        <v>0.74</v>
      </c>
      <c r="C1023" s="6">
        <f t="shared" ca="1" si="75"/>
        <v>-63922.043576258453</v>
      </c>
      <c r="F1023">
        <f t="shared" si="77"/>
        <v>932</v>
      </c>
      <c r="G1023">
        <f t="shared" ca="1" si="76"/>
        <v>0.89500000000000002</v>
      </c>
    </row>
    <row r="1024" spans="1:7">
      <c r="A1024">
        <f t="shared" si="73"/>
        <v>929</v>
      </c>
      <c r="B1024">
        <f t="shared" ca="1" si="74"/>
        <v>0.84</v>
      </c>
      <c r="C1024" s="6">
        <f t="shared" ca="1" si="75"/>
        <v>-63922.043576258453</v>
      </c>
      <c r="F1024">
        <f t="shared" si="77"/>
        <v>933</v>
      </c>
      <c r="G1024">
        <f t="shared" ca="1" si="76"/>
        <v>0.42</v>
      </c>
    </row>
    <row r="1025" spans="1:7">
      <c r="A1025">
        <f t="shared" si="73"/>
        <v>930</v>
      </c>
      <c r="B1025">
        <f t="shared" ca="1" si="74"/>
        <v>0.84</v>
      </c>
      <c r="C1025" s="6">
        <f t="shared" ca="1" si="75"/>
        <v>-63922.043576258453</v>
      </c>
      <c r="F1025">
        <f t="shared" si="77"/>
        <v>934</v>
      </c>
      <c r="G1025">
        <f t="shared" ca="1" si="76"/>
        <v>0.89700000000000002</v>
      </c>
    </row>
    <row r="1026" spans="1:7">
      <c r="A1026">
        <f t="shared" si="73"/>
        <v>931</v>
      </c>
      <c r="B1026">
        <f t="shared" ca="1" si="74"/>
        <v>0.48</v>
      </c>
      <c r="C1026" s="6">
        <f t="shared" ca="1" si="75"/>
        <v>-63922.043576258453</v>
      </c>
      <c r="F1026">
        <f t="shared" si="77"/>
        <v>935</v>
      </c>
      <c r="G1026">
        <f t="shared" ca="1" si="76"/>
        <v>0.92200000000000004</v>
      </c>
    </row>
    <row r="1027" spans="1:7">
      <c r="A1027">
        <f t="shared" si="73"/>
        <v>932</v>
      </c>
      <c r="B1027">
        <f t="shared" ca="1" si="74"/>
        <v>0.96</v>
      </c>
      <c r="C1027" s="6">
        <f t="shared" ca="1" si="75"/>
        <v>-63922.043576258453</v>
      </c>
      <c r="F1027">
        <f t="shared" si="77"/>
        <v>936</v>
      </c>
      <c r="G1027">
        <f t="shared" ca="1" si="76"/>
        <v>0.70899999999999996</v>
      </c>
    </row>
    <row r="1028" spans="1:7">
      <c r="A1028">
        <f t="shared" si="73"/>
        <v>933</v>
      </c>
      <c r="B1028">
        <f t="shared" ca="1" si="74"/>
        <v>0.55000000000000004</v>
      </c>
      <c r="C1028" s="6">
        <f t="shared" ca="1" si="75"/>
        <v>-63922.043576258453</v>
      </c>
      <c r="F1028">
        <f t="shared" si="77"/>
        <v>937</v>
      </c>
      <c r="G1028">
        <f t="shared" ca="1" si="76"/>
        <v>0.88900000000000001</v>
      </c>
    </row>
    <row r="1029" spans="1:7">
      <c r="A1029">
        <f t="shared" si="73"/>
        <v>934</v>
      </c>
      <c r="B1029">
        <f t="shared" ca="1" si="74"/>
        <v>0.52</v>
      </c>
      <c r="C1029" s="6">
        <f t="shared" ca="1" si="75"/>
        <v>-63922.043576258453</v>
      </c>
      <c r="F1029">
        <f t="shared" si="77"/>
        <v>938</v>
      </c>
      <c r="G1029">
        <f t="shared" ca="1" si="76"/>
        <v>0.93200000000000005</v>
      </c>
    </row>
    <row r="1030" spans="1:7">
      <c r="A1030">
        <f t="shared" si="73"/>
        <v>935</v>
      </c>
      <c r="B1030">
        <f t="shared" ca="1" si="74"/>
        <v>0.93</v>
      </c>
      <c r="C1030" s="6">
        <f t="shared" ca="1" si="75"/>
        <v>-63922.043576258453</v>
      </c>
      <c r="F1030">
        <f t="shared" si="77"/>
        <v>939</v>
      </c>
      <c r="G1030">
        <f t="shared" ca="1" si="76"/>
        <v>0.69799999999999995</v>
      </c>
    </row>
    <row r="1031" spans="1:7">
      <c r="A1031">
        <f t="shared" si="73"/>
        <v>936</v>
      </c>
      <c r="B1031">
        <f t="shared" ca="1" si="74"/>
        <v>0.47</v>
      </c>
      <c r="C1031" s="6">
        <f t="shared" ca="1" si="75"/>
        <v>-63922.043576258453</v>
      </c>
      <c r="F1031">
        <f t="shared" si="77"/>
        <v>940</v>
      </c>
      <c r="G1031">
        <f t="shared" ca="1" si="76"/>
        <v>0.437</v>
      </c>
    </row>
    <row r="1032" spans="1:7">
      <c r="A1032">
        <f t="shared" si="73"/>
        <v>937</v>
      </c>
      <c r="B1032">
        <f t="shared" ca="1" si="74"/>
        <v>0.44</v>
      </c>
      <c r="C1032" s="6">
        <f t="shared" ca="1" si="75"/>
        <v>-63922.043576258453</v>
      </c>
      <c r="F1032">
        <f t="shared" si="77"/>
        <v>941</v>
      </c>
      <c r="G1032">
        <f t="shared" ca="1" si="76"/>
        <v>0.81699999999999995</v>
      </c>
    </row>
    <row r="1033" spans="1:7">
      <c r="A1033">
        <f t="shared" si="73"/>
        <v>938</v>
      </c>
      <c r="B1033">
        <f t="shared" ca="1" si="74"/>
        <v>0.48</v>
      </c>
      <c r="C1033" s="6">
        <f t="shared" ca="1" si="75"/>
        <v>-63922.043576258453</v>
      </c>
      <c r="F1033">
        <f t="shared" si="77"/>
        <v>942</v>
      </c>
      <c r="G1033">
        <f t="shared" ca="1" si="76"/>
        <v>0.51300000000000001</v>
      </c>
    </row>
    <row r="1034" spans="1:7">
      <c r="A1034">
        <f t="shared" si="73"/>
        <v>939</v>
      </c>
      <c r="B1034">
        <f t="shared" ca="1" si="74"/>
        <v>0.75</v>
      </c>
      <c r="C1034" s="6">
        <f t="shared" ca="1" si="75"/>
        <v>-63922.043576258453</v>
      </c>
      <c r="F1034">
        <f t="shared" si="77"/>
        <v>943</v>
      </c>
      <c r="G1034">
        <f t="shared" ca="1" si="76"/>
        <v>0.98099999999999998</v>
      </c>
    </row>
    <row r="1035" spans="1:7">
      <c r="A1035">
        <f t="shared" si="73"/>
        <v>940</v>
      </c>
      <c r="B1035">
        <f t="shared" ca="1" si="74"/>
        <v>0.81</v>
      </c>
      <c r="C1035" s="6">
        <f t="shared" ca="1" si="75"/>
        <v>-63922.043576258453</v>
      </c>
      <c r="F1035">
        <f t="shared" si="77"/>
        <v>944</v>
      </c>
      <c r="G1035">
        <f t="shared" ca="1" si="76"/>
        <v>0.54</v>
      </c>
    </row>
    <row r="1036" spans="1:7">
      <c r="A1036">
        <f t="shared" si="73"/>
        <v>941</v>
      </c>
      <c r="B1036">
        <f t="shared" ca="1" si="74"/>
        <v>0.83</v>
      </c>
      <c r="C1036" s="6">
        <f t="shared" ca="1" si="75"/>
        <v>-63922.043576258453</v>
      </c>
      <c r="F1036">
        <f t="shared" si="77"/>
        <v>945</v>
      </c>
      <c r="G1036">
        <f t="shared" ca="1" si="76"/>
        <v>0.71799999999999997</v>
      </c>
    </row>
    <row r="1037" spans="1:7">
      <c r="A1037">
        <f t="shared" si="73"/>
        <v>942</v>
      </c>
      <c r="B1037">
        <f t="shared" ca="1" si="74"/>
        <v>0.46</v>
      </c>
      <c r="C1037" s="6">
        <f t="shared" ca="1" si="75"/>
        <v>-63922.043576258453</v>
      </c>
      <c r="F1037">
        <f t="shared" si="77"/>
        <v>946</v>
      </c>
      <c r="G1037">
        <f t="shared" ca="1" si="76"/>
        <v>0.68</v>
      </c>
    </row>
    <row r="1038" spans="1:7">
      <c r="A1038">
        <f t="shared" si="73"/>
        <v>943</v>
      </c>
      <c r="B1038">
        <f t="shared" ca="1" si="74"/>
        <v>0.75</v>
      </c>
      <c r="C1038" s="6">
        <f t="shared" ca="1" si="75"/>
        <v>-63922.043576258453</v>
      </c>
      <c r="F1038">
        <f t="shared" si="77"/>
        <v>947</v>
      </c>
      <c r="G1038">
        <f t="shared" ca="1" si="76"/>
        <v>0.72199999999999998</v>
      </c>
    </row>
    <row r="1039" spans="1:7">
      <c r="A1039">
        <f t="shared" si="73"/>
        <v>944</v>
      </c>
      <c r="B1039">
        <f t="shared" ca="1" si="74"/>
        <v>0.84</v>
      </c>
      <c r="C1039" s="6">
        <f t="shared" ca="1" si="75"/>
        <v>-63922.043576258453</v>
      </c>
      <c r="F1039">
        <f t="shared" si="77"/>
        <v>948</v>
      </c>
      <c r="G1039">
        <f t="shared" ca="1" si="76"/>
        <v>0.81599999999999995</v>
      </c>
    </row>
    <row r="1040" spans="1:7">
      <c r="A1040">
        <f t="shared" si="73"/>
        <v>945</v>
      </c>
      <c r="B1040">
        <f t="shared" ca="1" si="74"/>
        <v>0.95</v>
      </c>
      <c r="C1040" s="6">
        <f t="shared" ca="1" si="75"/>
        <v>-63922.043576258453</v>
      </c>
      <c r="F1040">
        <f t="shared" si="77"/>
        <v>949</v>
      </c>
      <c r="G1040">
        <f t="shared" ca="1" si="76"/>
        <v>0.42899999999999999</v>
      </c>
    </row>
    <row r="1041" spans="1:7">
      <c r="A1041">
        <f t="shared" si="73"/>
        <v>946</v>
      </c>
      <c r="B1041">
        <f t="shared" ca="1" si="74"/>
        <v>0.53</v>
      </c>
      <c r="C1041" s="6">
        <f t="shared" ca="1" si="75"/>
        <v>-63922.043576258453</v>
      </c>
      <c r="F1041">
        <f t="shared" si="77"/>
        <v>950</v>
      </c>
      <c r="G1041">
        <f t="shared" ca="1" si="76"/>
        <v>0.96099999999999997</v>
      </c>
    </row>
    <row r="1042" spans="1:7">
      <c r="A1042">
        <f t="shared" si="73"/>
        <v>947</v>
      </c>
      <c r="B1042">
        <f t="shared" ca="1" si="74"/>
        <v>1</v>
      </c>
      <c r="C1042" s="6">
        <f t="shared" ca="1" si="75"/>
        <v>-63922.043576258453</v>
      </c>
      <c r="F1042">
        <f t="shared" si="77"/>
        <v>951</v>
      </c>
      <c r="G1042">
        <f t="shared" ca="1" si="76"/>
        <v>0.89200000000000002</v>
      </c>
    </row>
    <row r="1043" spans="1:7">
      <c r="A1043">
        <f t="shared" si="73"/>
        <v>948</v>
      </c>
      <c r="B1043">
        <f t="shared" ca="1" si="74"/>
        <v>0.8</v>
      </c>
      <c r="C1043" s="6">
        <f t="shared" ca="1" si="75"/>
        <v>-63922.043576258453</v>
      </c>
      <c r="F1043">
        <f t="shared" si="77"/>
        <v>952</v>
      </c>
      <c r="G1043">
        <f t="shared" ca="1" si="76"/>
        <v>0.74</v>
      </c>
    </row>
    <row r="1044" spans="1:7">
      <c r="A1044">
        <f t="shared" si="73"/>
        <v>949</v>
      </c>
      <c r="B1044">
        <f t="shared" ca="1" si="74"/>
        <v>0.56999999999999995</v>
      </c>
      <c r="C1044" s="6">
        <f t="shared" ca="1" si="75"/>
        <v>-63922.043576258453</v>
      </c>
      <c r="F1044">
        <f t="shared" si="77"/>
        <v>953</v>
      </c>
      <c r="G1044">
        <f t="shared" ca="1" si="76"/>
        <v>0.66200000000000003</v>
      </c>
    </row>
    <row r="1045" spans="1:7">
      <c r="A1045">
        <f t="shared" si="73"/>
        <v>950</v>
      </c>
      <c r="B1045">
        <f t="shared" ca="1" si="74"/>
        <v>0.84</v>
      </c>
      <c r="C1045" s="6">
        <f t="shared" ca="1" si="75"/>
        <v>-63922.043576258453</v>
      </c>
      <c r="F1045">
        <f t="shared" si="77"/>
        <v>954</v>
      </c>
      <c r="G1045">
        <f t="shared" ca="1" si="76"/>
        <v>0.79700000000000004</v>
      </c>
    </row>
    <row r="1046" spans="1:7">
      <c r="A1046">
        <f t="shared" si="73"/>
        <v>951</v>
      </c>
      <c r="B1046">
        <f t="shared" ca="1" si="74"/>
        <v>0.41</v>
      </c>
      <c r="C1046" s="6">
        <f t="shared" ca="1" si="75"/>
        <v>-63922.043576258453</v>
      </c>
      <c r="F1046">
        <f t="shared" si="77"/>
        <v>955</v>
      </c>
      <c r="G1046">
        <f t="shared" ca="1" si="76"/>
        <v>0.63</v>
      </c>
    </row>
    <row r="1047" spans="1:7">
      <c r="A1047">
        <f t="shared" si="73"/>
        <v>952</v>
      </c>
      <c r="B1047">
        <f t="shared" ca="1" si="74"/>
        <v>0.43</v>
      </c>
      <c r="C1047" s="6">
        <f t="shared" ca="1" si="75"/>
        <v>-63922.043576258453</v>
      </c>
      <c r="F1047">
        <f t="shared" si="77"/>
        <v>956</v>
      </c>
      <c r="G1047">
        <f t="shared" ca="1" si="76"/>
        <v>0.76300000000000001</v>
      </c>
    </row>
    <row r="1048" spans="1:7">
      <c r="A1048">
        <f t="shared" si="73"/>
        <v>953</v>
      </c>
      <c r="B1048">
        <f t="shared" ca="1" si="74"/>
        <v>0.78</v>
      </c>
      <c r="C1048" s="6">
        <f t="shared" ca="1" si="75"/>
        <v>-63922.043576258453</v>
      </c>
      <c r="F1048">
        <f t="shared" si="77"/>
        <v>957</v>
      </c>
      <c r="G1048">
        <f t="shared" ca="1" si="76"/>
        <v>0.89200000000000002</v>
      </c>
    </row>
    <row r="1049" spans="1:7">
      <c r="A1049">
        <f t="shared" si="73"/>
        <v>954</v>
      </c>
      <c r="B1049">
        <f t="shared" ca="1" si="74"/>
        <v>0.95</v>
      </c>
      <c r="C1049" s="6">
        <f t="shared" ca="1" si="75"/>
        <v>-63922.043576258453</v>
      </c>
      <c r="F1049">
        <f t="shared" si="77"/>
        <v>958</v>
      </c>
      <c r="G1049">
        <f t="shared" ca="1" si="76"/>
        <v>0.95</v>
      </c>
    </row>
    <row r="1050" spans="1:7">
      <c r="A1050">
        <f t="shared" si="73"/>
        <v>955</v>
      </c>
      <c r="B1050">
        <f t="shared" ca="1" si="74"/>
        <v>0.79</v>
      </c>
      <c r="C1050" s="6">
        <f t="shared" ca="1" si="75"/>
        <v>-63922.043576258453</v>
      </c>
      <c r="F1050">
        <f t="shared" si="77"/>
        <v>959</v>
      </c>
      <c r="G1050">
        <f t="shared" ca="1" si="76"/>
        <v>0.79100000000000004</v>
      </c>
    </row>
    <row r="1051" spans="1:7">
      <c r="A1051">
        <f t="shared" ref="A1051:A1089" si="78">ROW()-95</f>
        <v>956</v>
      </c>
      <c r="B1051">
        <f t="shared" ref="B1051:B1089" ca="1" si="79">RANDBETWEEN(40,100)/100</f>
        <v>0.86</v>
      </c>
      <c r="C1051" s="6">
        <f t="shared" ref="C1051:C1089" ca="1" si="80">$B$71 + 0*B1051</f>
        <v>-63922.043576258453</v>
      </c>
      <c r="F1051">
        <f t="shared" si="77"/>
        <v>960</v>
      </c>
      <c r="G1051">
        <f t="shared" ca="1" si="76"/>
        <v>0.80700000000000005</v>
      </c>
    </row>
    <row r="1052" spans="1:7">
      <c r="A1052">
        <f t="shared" si="78"/>
        <v>957</v>
      </c>
      <c r="B1052">
        <f t="shared" ca="1" si="79"/>
        <v>0.83</v>
      </c>
      <c r="C1052" s="6">
        <f t="shared" ca="1" si="80"/>
        <v>-63922.043576258453</v>
      </c>
      <c r="F1052">
        <f t="shared" si="77"/>
        <v>961</v>
      </c>
      <c r="G1052">
        <f t="shared" ca="1" si="76"/>
        <v>0.42799999999999999</v>
      </c>
    </row>
    <row r="1053" spans="1:7">
      <c r="A1053">
        <f t="shared" si="78"/>
        <v>958</v>
      </c>
      <c r="B1053">
        <f t="shared" ca="1" si="79"/>
        <v>0.81</v>
      </c>
      <c r="C1053" s="6">
        <f t="shared" ca="1" si="80"/>
        <v>-63922.043576258453</v>
      </c>
      <c r="F1053">
        <f t="shared" si="77"/>
        <v>962</v>
      </c>
      <c r="G1053">
        <f t="shared" ref="G1053:G1091" ca="1" si="81">ROUND(RAND()*(1-0.4)+0.4,3)</f>
        <v>0.86499999999999999</v>
      </c>
    </row>
    <row r="1054" spans="1:7">
      <c r="A1054">
        <f t="shared" si="78"/>
        <v>959</v>
      </c>
      <c r="B1054">
        <f t="shared" ca="1" si="79"/>
        <v>0.53</v>
      </c>
      <c r="C1054" s="6">
        <f t="shared" ca="1" si="80"/>
        <v>-63922.043576258453</v>
      </c>
      <c r="F1054">
        <f t="shared" ref="F1054:F1091" si="82">F1053+1</f>
        <v>963</v>
      </c>
      <c r="G1054">
        <f t="shared" ca="1" si="81"/>
        <v>0.91400000000000003</v>
      </c>
    </row>
    <row r="1055" spans="1:7">
      <c r="A1055">
        <f t="shared" si="78"/>
        <v>960</v>
      </c>
      <c r="B1055">
        <f t="shared" ca="1" si="79"/>
        <v>0.55000000000000004</v>
      </c>
      <c r="C1055" s="6">
        <f t="shared" ca="1" si="80"/>
        <v>-63922.043576258453</v>
      </c>
      <c r="F1055">
        <f t="shared" si="82"/>
        <v>964</v>
      </c>
      <c r="G1055">
        <f t="shared" ca="1" si="81"/>
        <v>0.59</v>
      </c>
    </row>
    <row r="1056" spans="1:7">
      <c r="A1056">
        <f t="shared" si="78"/>
        <v>961</v>
      </c>
      <c r="B1056">
        <f t="shared" ca="1" si="79"/>
        <v>0.93</v>
      </c>
      <c r="C1056" s="6">
        <f t="shared" ca="1" si="80"/>
        <v>-63922.043576258453</v>
      </c>
      <c r="F1056">
        <f t="shared" si="82"/>
        <v>965</v>
      </c>
      <c r="G1056">
        <f t="shared" ca="1" si="81"/>
        <v>0.436</v>
      </c>
    </row>
    <row r="1057" spans="1:7">
      <c r="A1057">
        <f t="shared" si="78"/>
        <v>962</v>
      </c>
      <c r="B1057">
        <f t="shared" ca="1" si="79"/>
        <v>0.56999999999999995</v>
      </c>
      <c r="C1057" s="6">
        <f t="shared" ca="1" si="80"/>
        <v>-63922.043576258453</v>
      </c>
      <c r="F1057">
        <f t="shared" si="82"/>
        <v>966</v>
      </c>
      <c r="G1057">
        <f t="shared" ca="1" si="81"/>
        <v>0.76700000000000002</v>
      </c>
    </row>
    <row r="1058" spans="1:7">
      <c r="A1058">
        <f t="shared" si="78"/>
        <v>963</v>
      </c>
      <c r="B1058">
        <f t="shared" ca="1" si="79"/>
        <v>0.48</v>
      </c>
      <c r="C1058" s="6">
        <f t="shared" ca="1" si="80"/>
        <v>-63922.043576258453</v>
      </c>
      <c r="F1058">
        <f t="shared" si="82"/>
        <v>967</v>
      </c>
      <c r="G1058">
        <f t="shared" ca="1" si="81"/>
        <v>0.94399999999999995</v>
      </c>
    </row>
    <row r="1059" spans="1:7">
      <c r="A1059">
        <f t="shared" si="78"/>
        <v>964</v>
      </c>
      <c r="B1059">
        <f t="shared" ca="1" si="79"/>
        <v>0.79</v>
      </c>
      <c r="C1059" s="6">
        <f t="shared" ca="1" si="80"/>
        <v>-63922.043576258453</v>
      </c>
      <c r="F1059">
        <f t="shared" si="82"/>
        <v>968</v>
      </c>
      <c r="G1059">
        <f t="shared" ca="1" si="81"/>
        <v>0.97899999999999998</v>
      </c>
    </row>
    <row r="1060" spans="1:7">
      <c r="A1060">
        <f t="shared" si="78"/>
        <v>965</v>
      </c>
      <c r="B1060">
        <f t="shared" ca="1" si="79"/>
        <v>0.8</v>
      </c>
      <c r="C1060" s="6">
        <f t="shared" ca="1" si="80"/>
        <v>-63922.043576258453</v>
      </c>
      <c r="F1060">
        <f t="shared" si="82"/>
        <v>969</v>
      </c>
      <c r="G1060">
        <f t="shared" ca="1" si="81"/>
        <v>0.84099999999999997</v>
      </c>
    </row>
    <row r="1061" spans="1:7">
      <c r="A1061">
        <f t="shared" si="78"/>
        <v>966</v>
      </c>
      <c r="B1061">
        <f t="shared" ca="1" si="79"/>
        <v>0.42</v>
      </c>
      <c r="C1061" s="6">
        <f t="shared" ca="1" si="80"/>
        <v>-63922.043576258453</v>
      </c>
      <c r="F1061">
        <f t="shared" si="82"/>
        <v>970</v>
      </c>
      <c r="G1061">
        <f t="shared" ca="1" si="81"/>
        <v>0.64</v>
      </c>
    </row>
    <row r="1062" spans="1:7">
      <c r="A1062">
        <f t="shared" si="78"/>
        <v>967</v>
      </c>
      <c r="B1062">
        <f t="shared" ca="1" si="79"/>
        <v>0.91</v>
      </c>
      <c r="C1062" s="6">
        <f t="shared" ca="1" si="80"/>
        <v>-63922.043576258453</v>
      </c>
      <c r="F1062">
        <f t="shared" si="82"/>
        <v>971</v>
      </c>
      <c r="G1062">
        <f t="shared" ca="1" si="81"/>
        <v>0.72599999999999998</v>
      </c>
    </row>
    <row r="1063" spans="1:7">
      <c r="A1063">
        <f t="shared" si="78"/>
        <v>968</v>
      </c>
      <c r="B1063">
        <f t="shared" ca="1" si="79"/>
        <v>0.68</v>
      </c>
      <c r="C1063" s="6">
        <f t="shared" ca="1" si="80"/>
        <v>-63922.043576258453</v>
      </c>
      <c r="F1063">
        <f t="shared" si="82"/>
        <v>972</v>
      </c>
      <c r="G1063">
        <f t="shared" ca="1" si="81"/>
        <v>0.46600000000000003</v>
      </c>
    </row>
    <row r="1064" spans="1:7">
      <c r="A1064">
        <f t="shared" si="78"/>
        <v>969</v>
      </c>
      <c r="B1064">
        <f t="shared" ca="1" si="79"/>
        <v>0.68</v>
      </c>
      <c r="C1064" s="6">
        <f t="shared" ca="1" si="80"/>
        <v>-63922.043576258453</v>
      </c>
      <c r="F1064">
        <f t="shared" si="82"/>
        <v>973</v>
      </c>
      <c r="G1064">
        <f t="shared" ca="1" si="81"/>
        <v>0.70699999999999996</v>
      </c>
    </row>
    <row r="1065" spans="1:7">
      <c r="A1065">
        <f t="shared" si="78"/>
        <v>970</v>
      </c>
      <c r="B1065">
        <f t="shared" ca="1" si="79"/>
        <v>0.63</v>
      </c>
      <c r="C1065" s="6">
        <f t="shared" ca="1" si="80"/>
        <v>-63922.043576258453</v>
      </c>
      <c r="F1065">
        <f t="shared" si="82"/>
        <v>974</v>
      </c>
      <c r="G1065">
        <f t="shared" ca="1" si="81"/>
        <v>0.66</v>
      </c>
    </row>
    <row r="1066" spans="1:7">
      <c r="A1066">
        <f t="shared" si="78"/>
        <v>971</v>
      </c>
      <c r="B1066">
        <f t="shared" ca="1" si="79"/>
        <v>0.93</v>
      </c>
      <c r="C1066" s="6">
        <f t="shared" ca="1" si="80"/>
        <v>-63922.043576258453</v>
      </c>
      <c r="F1066">
        <f t="shared" si="82"/>
        <v>975</v>
      </c>
      <c r="G1066">
        <f t="shared" ca="1" si="81"/>
        <v>0.82699999999999996</v>
      </c>
    </row>
    <row r="1067" spans="1:7">
      <c r="A1067">
        <f t="shared" si="78"/>
        <v>972</v>
      </c>
      <c r="B1067">
        <f t="shared" ca="1" si="79"/>
        <v>0.87</v>
      </c>
      <c r="C1067" s="6">
        <f t="shared" ca="1" si="80"/>
        <v>-63922.043576258453</v>
      </c>
      <c r="F1067">
        <f t="shared" si="82"/>
        <v>976</v>
      </c>
      <c r="G1067">
        <f t="shared" ca="1" si="81"/>
        <v>0.70099999999999996</v>
      </c>
    </row>
    <row r="1068" spans="1:7">
      <c r="A1068">
        <f t="shared" si="78"/>
        <v>973</v>
      </c>
      <c r="B1068">
        <f t="shared" ca="1" si="79"/>
        <v>0.78</v>
      </c>
      <c r="C1068" s="6">
        <f t="shared" ca="1" si="80"/>
        <v>-63922.043576258453</v>
      </c>
      <c r="F1068">
        <f t="shared" si="82"/>
        <v>977</v>
      </c>
      <c r="G1068">
        <f t="shared" ca="1" si="81"/>
        <v>0.53900000000000003</v>
      </c>
    </row>
    <row r="1069" spans="1:7">
      <c r="A1069">
        <f t="shared" si="78"/>
        <v>974</v>
      </c>
      <c r="B1069">
        <f t="shared" ca="1" si="79"/>
        <v>0.41</v>
      </c>
      <c r="C1069" s="6">
        <f t="shared" ca="1" si="80"/>
        <v>-63922.043576258453</v>
      </c>
      <c r="F1069">
        <f t="shared" si="82"/>
        <v>978</v>
      </c>
      <c r="G1069">
        <f t="shared" ca="1" si="81"/>
        <v>0.85899999999999999</v>
      </c>
    </row>
    <row r="1070" spans="1:7">
      <c r="A1070">
        <f t="shared" si="78"/>
        <v>975</v>
      </c>
      <c r="B1070">
        <f t="shared" ca="1" si="79"/>
        <v>0.8</v>
      </c>
      <c r="C1070" s="6">
        <f t="shared" ca="1" si="80"/>
        <v>-63922.043576258453</v>
      </c>
      <c r="F1070">
        <f t="shared" si="82"/>
        <v>979</v>
      </c>
      <c r="G1070">
        <f t="shared" ca="1" si="81"/>
        <v>0.42399999999999999</v>
      </c>
    </row>
    <row r="1071" spans="1:7">
      <c r="A1071">
        <f t="shared" si="78"/>
        <v>976</v>
      </c>
      <c r="B1071">
        <f t="shared" ca="1" si="79"/>
        <v>0.69</v>
      </c>
      <c r="C1071" s="6">
        <f t="shared" ca="1" si="80"/>
        <v>-63922.043576258453</v>
      </c>
      <c r="F1071">
        <f t="shared" si="82"/>
        <v>980</v>
      </c>
      <c r="G1071">
        <f t="shared" ca="1" si="81"/>
        <v>0.86099999999999999</v>
      </c>
    </row>
    <row r="1072" spans="1:7">
      <c r="A1072">
        <f t="shared" si="78"/>
        <v>977</v>
      </c>
      <c r="B1072">
        <f t="shared" ca="1" si="79"/>
        <v>0.77</v>
      </c>
      <c r="C1072" s="6">
        <f t="shared" ca="1" si="80"/>
        <v>-63922.043576258453</v>
      </c>
      <c r="F1072">
        <f t="shared" si="82"/>
        <v>981</v>
      </c>
      <c r="G1072">
        <f t="shared" ca="1" si="81"/>
        <v>0.624</v>
      </c>
    </row>
    <row r="1073" spans="1:7">
      <c r="A1073">
        <f t="shared" si="78"/>
        <v>978</v>
      </c>
      <c r="B1073">
        <f t="shared" ca="1" si="79"/>
        <v>0.88</v>
      </c>
      <c r="C1073" s="6">
        <f t="shared" ca="1" si="80"/>
        <v>-63922.043576258453</v>
      </c>
      <c r="F1073">
        <f t="shared" si="82"/>
        <v>982</v>
      </c>
      <c r="G1073">
        <f t="shared" ca="1" si="81"/>
        <v>0.96</v>
      </c>
    </row>
    <row r="1074" spans="1:7">
      <c r="A1074">
        <f t="shared" si="78"/>
        <v>979</v>
      </c>
      <c r="B1074">
        <f t="shared" ca="1" si="79"/>
        <v>0.93</v>
      </c>
      <c r="C1074" s="6">
        <f t="shared" ca="1" si="80"/>
        <v>-63922.043576258453</v>
      </c>
      <c r="F1074">
        <f t="shared" si="82"/>
        <v>983</v>
      </c>
      <c r="G1074">
        <f t="shared" ca="1" si="81"/>
        <v>0.434</v>
      </c>
    </row>
    <row r="1075" spans="1:7">
      <c r="A1075">
        <f t="shared" si="78"/>
        <v>980</v>
      </c>
      <c r="B1075">
        <f t="shared" ca="1" si="79"/>
        <v>0.95</v>
      </c>
      <c r="C1075" s="6">
        <f t="shared" ca="1" si="80"/>
        <v>-63922.043576258453</v>
      </c>
      <c r="F1075">
        <f t="shared" si="82"/>
        <v>984</v>
      </c>
      <c r="G1075">
        <f t="shared" ca="1" si="81"/>
        <v>0.65200000000000002</v>
      </c>
    </row>
    <row r="1076" spans="1:7">
      <c r="A1076">
        <f t="shared" si="78"/>
        <v>981</v>
      </c>
      <c r="B1076">
        <f t="shared" ca="1" si="79"/>
        <v>0.94</v>
      </c>
      <c r="C1076" s="6">
        <f t="shared" ca="1" si="80"/>
        <v>-63922.043576258453</v>
      </c>
      <c r="F1076">
        <f t="shared" si="82"/>
        <v>985</v>
      </c>
      <c r="G1076">
        <f t="shared" ca="1" si="81"/>
        <v>0.83</v>
      </c>
    </row>
    <row r="1077" spans="1:7">
      <c r="A1077">
        <f t="shared" si="78"/>
        <v>982</v>
      </c>
      <c r="B1077">
        <f t="shared" ca="1" si="79"/>
        <v>0.89</v>
      </c>
      <c r="C1077" s="6">
        <f t="shared" ca="1" si="80"/>
        <v>-63922.043576258453</v>
      </c>
      <c r="F1077">
        <f t="shared" si="82"/>
        <v>986</v>
      </c>
      <c r="G1077">
        <f t="shared" ca="1" si="81"/>
        <v>0.73399999999999999</v>
      </c>
    </row>
    <row r="1078" spans="1:7">
      <c r="A1078">
        <f t="shared" si="78"/>
        <v>983</v>
      </c>
      <c r="B1078">
        <f t="shared" ca="1" si="79"/>
        <v>0.84</v>
      </c>
      <c r="C1078" s="6">
        <f t="shared" ca="1" si="80"/>
        <v>-63922.043576258453</v>
      </c>
      <c r="F1078">
        <f t="shared" si="82"/>
        <v>987</v>
      </c>
      <c r="G1078">
        <f t="shared" ca="1" si="81"/>
        <v>0.94699999999999995</v>
      </c>
    </row>
    <row r="1079" spans="1:7">
      <c r="A1079">
        <f t="shared" si="78"/>
        <v>984</v>
      </c>
      <c r="B1079">
        <f t="shared" ca="1" si="79"/>
        <v>0.48</v>
      </c>
      <c r="C1079" s="6">
        <f t="shared" ca="1" si="80"/>
        <v>-63922.043576258453</v>
      </c>
      <c r="F1079">
        <f t="shared" si="82"/>
        <v>988</v>
      </c>
      <c r="G1079">
        <f t="shared" ca="1" si="81"/>
        <v>0.79500000000000004</v>
      </c>
    </row>
    <row r="1080" spans="1:7">
      <c r="A1080">
        <f t="shared" si="78"/>
        <v>985</v>
      </c>
      <c r="B1080">
        <f t="shared" ca="1" si="79"/>
        <v>0.79</v>
      </c>
      <c r="C1080" s="6">
        <f t="shared" ca="1" si="80"/>
        <v>-63922.043576258453</v>
      </c>
      <c r="F1080">
        <f t="shared" si="82"/>
        <v>989</v>
      </c>
      <c r="G1080">
        <f t="shared" ca="1" si="81"/>
        <v>0.81499999999999995</v>
      </c>
    </row>
    <row r="1081" spans="1:7">
      <c r="A1081">
        <f t="shared" si="78"/>
        <v>986</v>
      </c>
      <c r="B1081">
        <f t="shared" ca="1" si="79"/>
        <v>0.5</v>
      </c>
      <c r="C1081" s="6">
        <f t="shared" ca="1" si="80"/>
        <v>-63922.043576258453</v>
      </c>
      <c r="F1081">
        <f t="shared" si="82"/>
        <v>990</v>
      </c>
      <c r="G1081">
        <f t="shared" ca="1" si="81"/>
        <v>0.79400000000000004</v>
      </c>
    </row>
    <row r="1082" spans="1:7">
      <c r="A1082">
        <f t="shared" si="78"/>
        <v>987</v>
      </c>
      <c r="B1082">
        <f t="shared" ca="1" si="79"/>
        <v>0.59</v>
      </c>
      <c r="C1082" s="6">
        <f t="shared" ca="1" si="80"/>
        <v>-63922.043576258453</v>
      </c>
      <c r="F1082">
        <f t="shared" si="82"/>
        <v>991</v>
      </c>
      <c r="G1082">
        <f t="shared" ca="1" si="81"/>
        <v>0.86199999999999999</v>
      </c>
    </row>
    <row r="1083" spans="1:7">
      <c r="A1083">
        <f t="shared" si="78"/>
        <v>988</v>
      </c>
      <c r="B1083">
        <f t="shared" ca="1" si="79"/>
        <v>0.71</v>
      </c>
      <c r="C1083" s="6">
        <f t="shared" ca="1" si="80"/>
        <v>-63922.043576258453</v>
      </c>
      <c r="F1083">
        <f t="shared" si="82"/>
        <v>992</v>
      </c>
      <c r="G1083">
        <f t="shared" ca="1" si="81"/>
        <v>0.97099999999999997</v>
      </c>
    </row>
    <row r="1084" spans="1:7">
      <c r="A1084">
        <f t="shared" si="78"/>
        <v>989</v>
      </c>
      <c r="B1084">
        <f t="shared" ca="1" si="79"/>
        <v>0.83</v>
      </c>
      <c r="C1084" s="6">
        <f t="shared" ca="1" si="80"/>
        <v>-63922.043576258453</v>
      </c>
      <c r="F1084">
        <f t="shared" si="82"/>
        <v>993</v>
      </c>
      <c r="G1084">
        <f t="shared" ca="1" si="81"/>
        <v>0.78400000000000003</v>
      </c>
    </row>
    <row r="1085" spans="1:7">
      <c r="A1085">
        <f t="shared" si="78"/>
        <v>990</v>
      </c>
      <c r="B1085">
        <f t="shared" ca="1" si="79"/>
        <v>0.79</v>
      </c>
      <c r="C1085" s="6">
        <f t="shared" ca="1" si="80"/>
        <v>-63922.043576258453</v>
      </c>
      <c r="F1085">
        <f t="shared" si="82"/>
        <v>994</v>
      </c>
      <c r="G1085">
        <f t="shared" ca="1" si="81"/>
        <v>0.65700000000000003</v>
      </c>
    </row>
    <row r="1086" spans="1:7">
      <c r="A1086">
        <f t="shared" si="78"/>
        <v>991</v>
      </c>
      <c r="B1086">
        <f t="shared" ca="1" si="79"/>
        <v>0.86</v>
      </c>
      <c r="C1086" s="6">
        <f t="shared" ca="1" si="80"/>
        <v>-63922.043576258453</v>
      </c>
      <c r="F1086">
        <f t="shared" si="82"/>
        <v>995</v>
      </c>
      <c r="G1086">
        <f t="shared" ca="1" si="81"/>
        <v>0.67400000000000004</v>
      </c>
    </row>
    <row r="1087" spans="1:7">
      <c r="A1087">
        <f t="shared" si="78"/>
        <v>992</v>
      </c>
      <c r="B1087">
        <f t="shared" ca="1" si="79"/>
        <v>0.72</v>
      </c>
      <c r="C1087" s="6">
        <f t="shared" ca="1" si="80"/>
        <v>-63922.043576258453</v>
      </c>
      <c r="F1087">
        <f t="shared" si="82"/>
        <v>996</v>
      </c>
      <c r="G1087">
        <f t="shared" ca="1" si="81"/>
        <v>0.88300000000000001</v>
      </c>
    </row>
    <row r="1088" spans="1:7">
      <c r="A1088">
        <f t="shared" si="78"/>
        <v>993</v>
      </c>
      <c r="B1088">
        <f t="shared" ca="1" si="79"/>
        <v>0.43</v>
      </c>
      <c r="C1088" s="6">
        <f t="shared" ca="1" si="80"/>
        <v>-63922.043576258453</v>
      </c>
      <c r="F1088">
        <f t="shared" si="82"/>
        <v>997</v>
      </c>
      <c r="G1088">
        <f t="shared" ca="1" si="81"/>
        <v>0.66800000000000004</v>
      </c>
    </row>
    <row r="1089" spans="1:7">
      <c r="A1089">
        <f t="shared" si="78"/>
        <v>994</v>
      </c>
      <c r="B1089">
        <f t="shared" ca="1" si="79"/>
        <v>0.76</v>
      </c>
      <c r="C1089" s="6">
        <f t="shared" ca="1" si="80"/>
        <v>-63922.043576258453</v>
      </c>
      <c r="F1089">
        <f t="shared" si="82"/>
        <v>998</v>
      </c>
      <c r="G1089">
        <f t="shared" ca="1" si="81"/>
        <v>0.60499999999999998</v>
      </c>
    </row>
    <row r="1090" spans="1:7">
      <c r="F1090">
        <f t="shared" si="82"/>
        <v>999</v>
      </c>
      <c r="G1090">
        <f t="shared" ca="1" si="81"/>
        <v>0.94199999999999995</v>
      </c>
    </row>
    <row r="1091" spans="1:7">
      <c r="F1091">
        <f t="shared" si="82"/>
        <v>1000</v>
      </c>
      <c r="G1091">
        <f t="shared" ca="1" si="81"/>
        <v>0.503</v>
      </c>
    </row>
    <row r="1092" spans="1:7">
      <c r="A1092" t="s">
        <v>128</v>
      </c>
    </row>
    <row r="1094" spans="1:7">
      <c r="A1094" t="s">
        <v>129</v>
      </c>
    </row>
    <row r="1095" spans="1:7">
      <c r="A1095" t="s">
        <v>130</v>
      </c>
    </row>
    <row r="1096" spans="1:7">
      <c r="A1096" t="s">
        <v>131</v>
      </c>
      <c r="B1096" s="92">
        <f ca="1">AVERAGE(C92:C1091)</f>
        <v>-63922.043576257282</v>
      </c>
    </row>
    <row r="1097" spans="1:7">
      <c r="A1097" t="s">
        <v>132</v>
      </c>
      <c r="B1097" s="92">
        <f ca="1">MEDIAN(C92:C1091)</f>
        <v>-63922.043576258453</v>
      </c>
    </row>
    <row r="1098" spans="1:7">
      <c r="A1098" t="s">
        <v>133</v>
      </c>
      <c r="B1098" s="93">
        <f ca="1">COUNTIF(C92:C1091,"&gt;0")/COUNTA(C92:C1091)</f>
        <v>0</v>
      </c>
    </row>
    <row r="1099" spans="1:7">
      <c r="B1099">
        <f ca="1">_xlfn.PERCENTILE.INC(C92:C1091,0.05)</f>
        <v>-63922.043576258453</v>
      </c>
    </row>
    <row r="1100" spans="1:7">
      <c r="B1100">
        <f ca="1">_xlfn.PERCENTILE.INC(C92:C1091,0.95)</f>
        <v>-63922.043576258453</v>
      </c>
    </row>
  </sheetData>
  <mergeCells count="9">
    <mergeCell ref="A34:B34"/>
    <mergeCell ref="A54:B54"/>
    <mergeCell ref="A1:Y3"/>
    <mergeCell ref="A68:B68"/>
    <mergeCell ref="A62:E62"/>
    <mergeCell ref="A57:E57"/>
    <mergeCell ref="A64:E64"/>
    <mergeCell ref="A49:B49"/>
    <mergeCell ref="A45:B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NPV Analysis</vt:lpstr>
      <vt:lpstr>RI vs PAYG</vt:lpstr>
      <vt:lpstr>RI Utilization Sensitivit</vt:lpstr>
      <vt:lpstr>Right-Sizing &amp; Auto-Scaling</vt:lpstr>
      <vt:lpstr>DR Strategy Cost–Risk Optimizat</vt:lpstr>
      <vt:lpstr>RI vs Savings Plans vs PAYG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Sambhav Pandey</dc:creator>
  <cp:lastModifiedBy>Sambhav Pandey</cp:lastModifiedBy>
  <dcterms:created xsi:type="dcterms:W3CDTF">2025-12-26T10:07:24Z</dcterms:created>
  <dcterms:modified xsi:type="dcterms:W3CDTF">2026-01-05T11:36:16Z</dcterms:modified>
</cp:coreProperties>
</file>